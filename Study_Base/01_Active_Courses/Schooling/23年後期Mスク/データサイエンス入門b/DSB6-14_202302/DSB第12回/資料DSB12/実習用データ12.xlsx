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Dropbox\myStorage\講師\法政大学\2021年度\データサイエンス\講義資料\DSB-12\"/>
    </mc:Choice>
  </mc:AlternateContent>
  <xr:revisionPtr revIDLastSave="0" documentId="13_ncr:1_{B78EC1DF-D462-48D2-93D8-77DF5D1F0BD8}" xr6:coauthVersionLast="47" xr6:coauthVersionMax="47" xr10:uidLastSave="{00000000-0000-0000-0000-000000000000}"/>
  <bookViews>
    <workbookView xWindow="-98" yWindow="-98" windowWidth="22186" windowHeight="11911" xr2:uid="{07622DDE-4C79-1D4A-9B2B-2B8604442AF1}"/>
  </bookViews>
  <sheets>
    <sheet name="歪んだ円グラフ" sheetId="1" r:id="rId1"/>
    <sheet name="複数回答" sheetId="2" r:id="rId2"/>
    <sheet name="くじゃくグラフ" sheetId="9" r:id="rId3"/>
    <sheet name="３D円グラフ" sheetId="3" r:id="rId4"/>
    <sheet name="３D棒グラフ" sheetId="4" r:id="rId5"/>
    <sheet name="合格実績" sheetId="5" r:id="rId6"/>
    <sheet name="大卒初任給" sheetId="6" r:id="rId7"/>
    <sheet name="幽霊棒グラフ" sheetId="8" r:id="rId8"/>
  </sheets>
  <externalReferences>
    <externalReference r:id="rId9"/>
    <externalReference r:id="rId10"/>
  </externalReferences>
  <definedNames>
    <definedName name="Data">#REF!</definedName>
    <definedName name="DataEnd">#REF!</definedName>
    <definedName name="Hyousoku">#REF!</definedName>
    <definedName name="HyousokuArea">#REF!</definedName>
    <definedName name="HyousokuEnd">#REF!</definedName>
    <definedName name="Hyoutou">#REF!</definedName>
    <definedName name="Rangai0">'[1]定義（総数）'!$B$48:$J$48</definedName>
    <definedName name="Title">#REF!</definedName>
    <definedName name="TitleEnglis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G8" i="4"/>
  <c r="C5" i="2"/>
  <c r="C6" i="2"/>
  <c r="C7" i="2"/>
  <c r="C8" i="2"/>
  <c r="C9" i="2"/>
  <c r="C4" i="2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4" i="6"/>
  <c r="C5" i="4"/>
  <c r="B5" i="4"/>
</calcChain>
</file>

<file path=xl/sharedStrings.xml><?xml version="1.0" encoding="utf-8"?>
<sst xmlns="http://schemas.openxmlformats.org/spreadsheetml/2006/main" count="167" uniqueCount="157">
  <si>
    <t>年代</t>
    <rPh sb="0" eb="2">
      <t xml:space="preserve">ネンダイ </t>
    </rPh>
    <phoneticPr fontId="1"/>
  </si>
  <si>
    <t>人数</t>
    <rPh sb="0" eb="2">
      <t xml:space="preserve">ニンスウ </t>
    </rPh>
    <phoneticPr fontId="1"/>
  </si>
  <si>
    <t>10-20代</t>
    <rPh sb="5" eb="6">
      <t xml:space="preserve">ダイ </t>
    </rPh>
    <phoneticPr fontId="1"/>
  </si>
  <si>
    <t>30代</t>
    <phoneticPr fontId="1"/>
  </si>
  <si>
    <t>40代</t>
    <phoneticPr fontId="1"/>
  </si>
  <si>
    <t>50代</t>
    <phoneticPr fontId="1"/>
  </si>
  <si>
    <t>青原高校に求めるもの（複数回答可）</t>
    <rPh sb="0" eb="2">
      <t>アオハラ</t>
    </rPh>
    <rPh sb="2" eb="4">
      <t>コウコウ</t>
    </rPh>
    <rPh sb="5" eb="6">
      <t>モト</t>
    </rPh>
    <rPh sb="11" eb="15">
      <t>フクスウカイトウ</t>
    </rPh>
    <rPh sb="15" eb="16">
      <t>カ</t>
    </rPh>
    <phoneticPr fontId="1"/>
  </si>
  <si>
    <t>部活動の充実</t>
    <rPh sb="0" eb="3">
      <t>ブカツドウ</t>
    </rPh>
    <rPh sb="4" eb="6">
      <t>ジュウジツ</t>
    </rPh>
    <phoneticPr fontId="1"/>
  </si>
  <si>
    <t>学校行事の改善</t>
    <rPh sb="0" eb="2">
      <t>ガッコウ</t>
    </rPh>
    <rPh sb="2" eb="4">
      <t>ギョウジ</t>
    </rPh>
    <rPh sb="5" eb="7">
      <t>カイゼン</t>
    </rPh>
    <phoneticPr fontId="1"/>
  </si>
  <si>
    <t>施設設備の充実</t>
    <rPh sb="0" eb="4">
      <t>シセツセツビ</t>
    </rPh>
    <rPh sb="5" eb="7">
      <t>ジュウジツ</t>
    </rPh>
    <phoneticPr fontId="1"/>
  </si>
  <si>
    <t>授業の工夫改善</t>
    <rPh sb="0" eb="2">
      <t>ジュギョウ</t>
    </rPh>
    <rPh sb="3" eb="5">
      <t>クフウ</t>
    </rPh>
    <rPh sb="5" eb="7">
      <t>カイゼン</t>
    </rPh>
    <phoneticPr fontId="1"/>
  </si>
  <si>
    <t>教育相談の充実</t>
    <rPh sb="0" eb="2">
      <t>キョウイク</t>
    </rPh>
    <rPh sb="2" eb="4">
      <t>ソウダン</t>
    </rPh>
    <rPh sb="5" eb="7">
      <t>ジュウジツ</t>
    </rPh>
    <phoneticPr fontId="1"/>
  </si>
  <si>
    <t>その他</t>
    <rPh sb="2" eb="3">
      <t>タ</t>
    </rPh>
    <phoneticPr fontId="1"/>
  </si>
  <si>
    <t>項目</t>
    <rPh sb="0" eb="2">
      <t>コウモク</t>
    </rPh>
    <phoneticPr fontId="1"/>
  </si>
  <si>
    <t>回答数</t>
    <rPh sb="0" eb="3">
      <t>カイトウスウ</t>
    </rPh>
    <phoneticPr fontId="1"/>
  </si>
  <si>
    <t>合計</t>
    <rPh sb="0" eb="2">
      <t>ゴウケイ</t>
    </rPh>
    <phoneticPr fontId="1"/>
  </si>
  <si>
    <t>生徒数</t>
    <rPh sb="0" eb="3">
      <t>セイトスウ</t>
    </rPh>
    <phoneticPr fontId="1"/>
  </si>
  <si>
    <t>生徒数に対する割合</t>
    <rPh sb="0" eb="3">
      <t>セイトスウ</t>
    </rPh>
    <rPh sb="4" eb="5">
      <t>タイ</t>
    </rPh>
    <rPh sb="7" eb="9">
      <t>ワリアイ</t>
    </rPh>
    <phoneticPr fontId="1"/>
  </si>
  <si>
    <t>機種</t>
    <rPh sb="0" eb="2">
      <t>キシュ</t>
    </rPh>
    <phoneticPr fontId="1"/>
  </si>
  <si>
    <t>件数</t>
    <rPh sb="0" eb="2">
      <t>ケンスウ</t>
    </rPh>
    <phoneticPr fontId="1"/>
  </si>
  <si>
    <t>ヘリ</t>
    <phoneticPr fontId="1"/>
  </si>
  <si>
    <t>小型機</t>
    <rPh sb="0" eb="3">
      <t>コガタキ</t>
    </rPh>
    <phoneticPr fontId="1"/>
  </si>
  <si>
    <t>滑空機</t>
    <rPh sb="0" eb="3">
      <t>カックウキ</t>
    </rPh>
    <phoneticPr fontId="1"/>
  </si>
  <si>
    <t>大型機</t>
    <rPh sb="0" eb="3">
      <t>オオガタキ</t>
    </rPh>
    <phoneticPr fontId="1"/>
  </si>
  <si>
    <t>超軽量</t>
    <rPh sb="0" eb="1">
      <t>チョウ</t>
    </rPh>
    <rPh sb="1" eb="3">
      <t>ケイリョウ</t>
    </rPh>
    <phoneticPr fontId="1"/>
  </si>
  <si>
    <t>ジャイロ</t>
    <phoneticPr fontId="1"/>
  </si>
  <si>
    <t>飛行船</t>
    <rPh sb="0" eb="3">
      <t>ヒコウセン</t>
    </rPh>
    <phoneticPr fontId="1"/>
  </si>
  <si>
    <t>2008年</t>
    <rPh sb="4" eb="5">
      <t>ネン</t>
    </rPh>
    <phoneticPr fontId="1"/>
  </si>
  <si>
    <t>日本</t>
    <rPh sb="0" eb="2">
      <t>ニホン</t>
    </rPh>
    <phoneticPr fontId="1"/>
  </si>
  <si>
    <t>アメリカ</t>
    <phoneticPr fontId="1"/>
  </si>
  <si>
    <t>イギリス</t>
    <phoneticPr fontId="1"/>
  </si>
  <si>
    <t>フランス</t>
    <phoneticPr fontId="1"/>
  </si>
  <si>
    <t>ドイツ</t>
    <phoneticPr fontId="1"/>
  </si>
  <si>
    <t>カナダ</t>
    <phoneticPr fontId="1"/>
  </si>
  <si>
    <t>2015年</t>
    <rPh sb="4" eb="5">
      <t>ネン</t>
    </rPh>
    <phoneticPr fontId="1"/>
  </si>
  <si>
    <t>アメリカの内訳</t>
    <rPh sb="5" eb="7">
      <t>ウチワケ</t>
    </rPh>
    <phoneticPr fontId="1"/>
  </si>
  <si>
    <t>大統領府</t>
    <rPh sb="0" eb="4">
      <t>ダイトウリョウフ</t>
    </rPh>
    <phoneticPr fontId="1"/>
  </si>
  <si>
    <t>商務省センサス局</t>
    <rPh sb="0" eb="3">
      <t>ショウムショウ</t>
    </rPh>
    <rPh sb="7" eb="8">
      <t>キョク</t>
    </rPh>
    <phoneticPr fontId="1"/>
  </si>
  <si>
    <t>商務省経済分析局</t>
    <rPh sb="0" eb="3">
      <t>ショウムショウ</t>
    </rPh>
    <rPh sb="3" eb="5">
      <t>ケイザイ</t>
    </rPh>
    <rPh sb="5" eb="8">
      <t>ブンセキキョク</t>
    </rPh>
    <phoneticPr fontId="1"/>
  </si>
  <si>
    <t>労働省</t>
    <rPh sb="0" eb="3">
      <t>ロウドウショウ</t>
    </rPh>
    <phoneticPr fontId="1"/>
  </si>
  <si>
    <t>合格実績</t>
    <rPh sb="0" eb="4">
      <t>ゴウカクジッセキ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</si>
  <si>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</si>
  <si>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</si>
  <si>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</si>
  <si>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</si>
  <si>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</si>
  <si>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</si>
  <si>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合格者数</t>
    <rPh sb="0" eb="3">
      <t>ゴウカクシャ</t>
    </rPh>
    <rPh sb="3" eb="4">
      <t>スウ</t>
    </rPh>
    <phoneticPr fontId="1"/>
  </si>
  <si>
    <t>令和元年</t>
    <rPh sb="0" eb="4">
      <t xml:space="preserve">レイワフガンネン </t>
    </rPh>
    <phoneticPr fontId="6"/>
  </si>
  <si>
    <t>2019年</t>
    <rPh sb="4" eb="5">
      <t>ネン</t>
    </rPh>
    <phoneticPr fontId="1"/>
  </si>
  <si>
    <t>平成30年</t>
    <rPh sb="0" eb="2">
      <t xml:space="preserve">ヘイセイ </t>
    </rPh>
    <phoneticPr fontId="6"/>
  </si>
  <si>
    <t>2018年</t>
    <rPh sb="4" eb="5">
      <t>ネン</t>
    </rPh>
    <phoneticPr fontId="1"/>
  </si>
  <si>
    <t>平成29年</t>
    <rPh sb="0" eb="2">
      <t xml:space="preserve">ヘイセイ </t>
    </rPh>
    <phoneticPr fontId="6"/>
  </si>
  <si>
    <t>2017年</t>
    <rPh sb="4" eb="5">
      <t>ネン</t>
    </rPh>
    <phoneticPr fontId="1"/>
  </si>
  <si>
    <t>平成28年</t>
    <rPh sb="0" eb="2">
      <t xml:space="preserve">ヘイセイ </t>
    </rPh>
    <phoneticPr fontId="6"/>
  </si>
  <si>
    <t>2016年</t>
    <rPh sb="4" eb="5">
      <t>ネン</t>
    </rPh>
    <phoneticPr fontId="1"/>
  </si>
  <si>
    <t>平成27年</t>
    <rPh sb="0" eb="2">
      <t xml:space="preserve">ヘイセイ </t>
    </rPh>
    <phoneticPr fontId="6"/>
  </si>
  <si>
    <t>2015年</t>
    <rPh sb="4" eb="5">
      <t>ネン</t>
    </rPh>
    <phoneticPr fontId="1"/>
  </si>
  <si>
    <t>平成26年</t>
    <rPh sb="0" eb="2">
      <t xml:space="preserve">ヘイセイ </t>
    </rPh>
    <phoneticPr fontId="6"/>
  </si>
  <si>
    <t>2014年</t>
    <rPh sb="4" eb="5">
      <t>ネン</t>
    </rPh>
    <phoneticPr fontId="1"/>
  </si>
  <si>
    <t>平成25年</t>
    <rPh sb="0" eb="2">
      <t xml:space="preserve">ヘイセイ </t>
    </rPh>
    <phoneticPr fontId="6"/>
  </si>
  <si>
    <t>2013年</t>
    <rPh sb="4" eb="5">
      <t>ネン</t>
    </rPh>
    <phoneticPr fontId="1"/>
  </si>
  <si>
    <t>平成24年</t>
    <rPh sb="0" eb="2">
      <t xml:space="preserve">ヘイセイ </t>
    </rPh>
    <phoneticPr fontId="6"/>
  </si>
  <si>
    <t>2012年</t>
    <rPh sb="4" eb="5">
      <t>ネン</t>
    </rPh>
    <phoneticPr fontId="1"/>
  </si>
  <si>
    <t>平成23年</t>
    <rPh sb="0" eb="2">
      <t xml:space="preserve">ヘイセイ </t>
    </rPh>
    <phoneticPr fontId="6"/>
  </si>
  <si>
    <t>2011年</t>
    <rPh sb="4" eb="5">
      <t>ネン</t>
    </rPh>
    <phoneticPr fontId="1"/>
  </si>
  <si>
    <t>平成22年</t>
    <rPh sb="0" eb="2">
      <t xml:space="preserve">ヘイセイ </t>
    </rPh>
    <phoneticPr fontId="6"/>
  </si>
  <si>
    <t>2010年</t>
    <rPh sb="4" eb="5">
      <t>ネン</t>
    </rPh>
    <phoneticPr fontId="1"/>
  </si>
  <si>
    <t>平成21年</t>
    <rPh sb="0" eb="2">
      <t xml:space="preserve">ヘイセイ </t>
    </rPh>
    <phoneticPr fontId="6"/>
  </si>
  <si>
    <t>2009年</t>
    <rPh sb="4" eb="5">
      <t>ネン</t>
    </rPh>
    <phoneticPr fontId="1"/>
  </si>
  <si>
    <t>平成20年</t>
    <rPh sb="0" eb="2">
      <t xml:space="preserve">ヘイセイ </t>
    </rPh>
    <phoneticPr fontId="6"/>
  </si>
  <si>
    <t>2008年</t>
    <rPh sb="4" eb="5">
      <t>ネン</t>
    </rPh>
    <phoneticPr fontId="1"/>
  </si>
  <si>
    <t>平成19年</t>
    <rPh sb="0" eb="2">
      <t xml:space="preserve">ヘイセイ </t>
    </rPh>
    <phoneticPr fontId="6"/>
  </si>
  <si>
    <t>2007年</t>
    <rPh sb="4" eb="5">
      <t>ネン</t>
    </rPh>
    <phoneticPr fontId="1"/>
  </si>
  <si>
    <t>平成18年</t>
    <rPh sb="0" eb="2">
      <t xml:space="preserve">ヘイセイ </t>
    </rPh>
    <phoneticPr fontId="6"/>
  </si>
  <si>
    <t>2006年</t>
    <rPh sb="4" eb="5">
      <t>ネン</t>
    </rPh>
    <phoneticPr fontId="1"/>
  </si>
  <si>
    <t>平成17年</t>
    <rPh sb="0" eb="2">
      <t xml:space="preserve">ヘイセイ </t>
    </rPh>
    <phoneticPr fontId="6"/>
  </si>
  <si>
    <t>2005年</t>
    <rPh sb="4" eb="5">
      <t>ネン</t>
    </rPh>
    <phoneticPr fontId="1"/>
  </si>
  <si>
    <t>平成16年</t>
    <rPh sb="0" eb="2">
      <t xml:space="preserve">ヘイセイ </t>
    </rPh>
    <phoneticPr fontId="6"/>
  </si>
  <si>
    <t>2004年</t>
    <rPh sb="4" eb="5">
      <t>ネン</t>
    </rPh>
    <phoneticPr fontId="1"/>
  </si>
  <si>
    <t>平成15年</t>
    <rPh sb="0" eb="2">
      <t xml:space="preserve">ヘイセイ </t>
    </rPh>
    <phoneticPr fontId="6"/>
  </si>
  <si>
    <t>2003年</t>
    <rPh sb="4" eb="5">
      <t>ネン</t>
    </rPh>
    <phoneticPr fontId="1"/>
  </si>
  <si>
    <t>平成14年</t>
    <rPh sb="0" eb="2">
      <t xml:space="preserve">ヘイセイ </t>
    </rPh>
    <phoneticPr fontId="6"/>
  </si>
  <si>
    <t>2002年</t>
    <rPh sb="4" eb="5">
      <t>ネン</t>
    </rPh>
    <phoneticPr fontId="1"/>
  </si>
  <si>
    <t>平成13年</t>
    <rPh sb="0" eb="2">
      <t xml:space="preserve">ヘイセイ </t>
    </rPh>
    <phoneticPr fontId="6"/>
  </si>
  <si>
    <t>2001年</t>
    <rPh sb="4" eb="5">
      <t>ネン</t>
    </rPh>
    <phoneticPr fontId="1"/>
  </si>
  <si>
    <t>2000年</t>
    <rPh sb="4" eb="5">
      <t>ネン</t>
    </rPh>
    <phoneticPr fontId="1"/>
  </si>
  <si>
    <t>大卒初任給（千円）</t>
    <rPh sb="0" eb="2">
      <t xml:space="preserve">ダイソツ </t>
    </rPh>
    <rPh sb="2" eb="5">
      <t xml:space="preserve">ショニンキュウ </t>
    </rPh>
    <rPh sb="6" eb="8">
      <t xml:space="preserve">センエン </t>
    </rPh>
    <phoneticPr fontId="6"/>
  </si>
  <si>
    <t>2009年</t>
    <rPh sb="4" eb="5">
      <t>ネン</t>
    </rPh>
    <phoneticPr fontId="1"/>
  </si>
  <si>
    <t>2010年</t>
    <rPh sb="4" eb="5">
      <t>ネン</t>
    </rPh>
    <phoneticPr fontId="1"/>
  </si>
  <si>
    <t>平成9年度</t>
    <rPh sb="0" eb="2">
      <t>ヘイセイ</t>
    </rPh>
    <rPh sb="3" eb="5">
      <t>ネンド</t>
    </rPh>
    <phoneticPr fontId="1"/>
  </si>
  <si>
    <t>平成10年度</t>
    <rPh sb="0" eb="2">
      <t>ヘイセイ</t>
    </rPh>
    <rPh sb="4" eb="6">
      <t>ネンド</t>
    </rPh>
    <phoneticPr fontId="1"/>
  </si>
  <si>
    <t>平成11年度</t>
    <rPh sb="0" eb="2">
      <t>ヘイセイ</t>
    </rPh>
    <rPh sb="4" eb="6">
      <t>ネンド</t>
    </rPh>
    <phoneticPr fontId="1"/>
  </si>
  <si>
    <t>平成12年度</t>
    <rPh sb="0" eb="2">
      <t>ヘイセイ</t>
    </rPh>
    <rPh sb="4" eb="6">
      <t>ネンド</t>
    </rPh>
    <phoneticPr fontId="1"/>
  </si>
  <si>
    <t>平成13年度</t>
    <rPh sb="0" eb="2">
      <t>ヘイセイ</t>
    </rPh>
    <rPh sb="4" eb="6">
      <t>ネンド</t>
    </rPh>
    <phoneticPr fontId="1"/>
  </si>
  <si>
    <t>平成14年度</t>
    <rPh sb="0" eb="2">
      <t>ヘイセイ</t>
    </rPh>
    <rPh sb="4" eb="6">
      <t>ネンド</t>
    </rPh>
    <phoneticPr fontId="1"/>
  </si>
  <si>
    <t>平成15年度</t>
    <rPh sb="0" eb="2">
      <t>ヘイセイ</t>
    </rPh>
    <rPh sb="4" eb="6">
      <t>ネンド</t>
    </rPh>
    <phoneticPr fontId="1"/>
  </si>
  <si>
    <t>平成16年度</t>
    <rPh sb="0" eb="2">
      <t>ヘイセイ</t>
    </rPh>
    <rPh sb="4" eb="6">
      <t>ネンド</t>
    </rPh>
    <phoneticPr fontId="1"/>
  </si>
  <si>
    <t>平成17年度</t>
    <rPh sb="0" eb="2">
      <t>ヘイセイ</t>
    </rPh>
    <rPh sb="4" eb="6">
      <t>ネンド</t>
    </rPh>
    <phoneticPr fontId="1"/>
  </si>
  <si>
    <t>平成18年度</t>
    <rPh sb="0" eb="2">
      <t>ヘイセイ</t>
    </rPh>
    <rPh sb="4" eb="6">
      <t>ネンド</t>
    </rPh>
    <phoneticPr fontId="1"/>
  </si>
  <si>
    <t>平成19年度</t>
    <rPh sb="0" eb="2">
      <t>ヘイセイ</t>
    </rPh>
    <rPh sb="4" eb="6">
      <t>ネンド</t>
    </rPh>
    <phoneticPr fontId="1"/>
  </si>
  <si>
    <t>平成20年度</t>
    <rPh sb="0" eb="2">
      <t>ヘイセイ</t>
    </rPh>
    <rPh sb="4" eb="6">
      <t>ネンド</t>
    </rPh>
    <phoneticPr fontId="1"/>
  </si>
  <si>
    <t>平成21年度</t>
    <rPh sb="0" eb="2">
      <t>ヘイセイ</t>
    </rPh>
    <rPh sb="4" eb="6">
      <t>ネンド</t>
    </rPh>
    <phoneticPr fontId="1"/>
  </si>
  <si>
    <t>平成22年度</t>
    <rPh sb="0" eb="2">
      <t>ヘイセイ</t>
    </rPh>
    <rPh sb="4" eb="6">
      <t>ネンド</t>
    </rPh>
    <phoneticPr fontId="1"/>
  </si>
  <si>
    <t>平成23年度</t>
    <rPh sb="0" eb="2">
      <t>ヘイセイ</t>
    </rPh>
    <rPh sb="4" eb="6">
      <t>ネンド</t>
    </rPh>
    <phoneticPr fontId="1"/>
  </si>
  <si>
    <t>平成24年度</t>
    <rPh sb="0" eb="2">
      <t>ヘイセイ</t>
    </rPh>
    <rPh sb="4" eb="6">
      <t>ネンド</t>
    </rPh>
    <phoneticPr fontId="1"/>
  </si>
  <si>
    <t>平成25年度</t>
    <rPh sb="0" eb="2">
      <t>ヘイセイ</t>
    </rPh>
    <rPh sb="4" eb="6">
      <t>ネンド</t>
    </rPh>
    <phoneticPr fontId="1"/>
  </si>
  <si>
    <t>平成26年度</t>
    <rPh sb="0" eb="2">
      <t>ヘイセイ</t>
    </rPh>
    <rPh sb="4" eb="6">
      <t>ネンド</t>
    </rPh>
    <phoneticPr fontId="1"/>
  </si>
  <si>
    <t>平成27年度</t>
    <rPh sb="0" eb="2">
      <t>ヘイセイ</t>
    </rPh>
    <rPh sb="4" eb="6">
      <t>ネンド</t>
    </rPh>
    <phoneticPr fontId="1"/>
  </si>
  <si>
    <t>平成28年度</t>
    <rPh sb="0" eb="2">
      <t>ヘイセイ</t>
    </rPh>
    <rPh sb="4" eb="6">
      <t>ネンド</t>
    </rPh>
    <phoneticPr fontId="1"/>
  </si>
  <si>
    <t>平成29年度</t>
    <rPh sb="0" eb="2">
      <t>ヘイセイ</t>
    </rPh>
    <rPh sb="4" eb="6">
      <t>ネンド</t>
    </rPh>
    <phoneticPr fontId="1"/>
  </si>
  <si>
    <t>平成30年度</t>
    <rPh sb="0" eb="2">
      <t>ヘイセイ</t>
    </rPh>
    <rPh sb="4" eb="6">
      <t>ネンド</t>
    </rPh>
    <phoneticPr fontId="1"/>
  </si>
  <si>
    <t>令和元年</t>
    <rPh sb="0" eb="4">
      <t>レイワガンネン</t>
    </rPh>
    <phoneticPr fontId="1"/>
  </si>
  <si>
    <t>令和2年</t>
    <rPh sb="0" eb="2">
      <t>レイワ</t>
    </rPh>
    <rPh sb="3" eb="4">
      <t>ネン</t>
    </rPh>
    <phoneticPr fontId="1"/>
  </si>
  <si>
    <t>1997年</t>
    <rPh sb="4" eb="5">
      <t>ネン</t>
    </rPh>
    <phoneticPr fontId="1"/>
  </si>
  <si>
    <t>1998年</t>
    <rPh sb="4" eb="5">
      <t>ネン</t>
    </rPh>
    <phoneticPr fontId="1"/>
  </si>
  <si>
    <t>1999年</t>
    <rPh sb="4" eb="5">
      <t>ネン</t>
    </rPh>
    <phoneticPr fontId="1"/>
  </si>
  <si>
    <t>2000年</t>
    <rPh sb="4" eb="5">
      <t>ネン</t>
    </rPh>
    <phoneticPr fontId="1"/>
  </si>
  <si>
    <t>2001年</t>
    <rPh sb="4" eb="5">
      <t>ネン</t>
    </rPh>
    <phoneticPr fontId="1"/>
  </si>
  <si>
    <t>2002年</t>
    <rPh sb="4" eb="5">
      <t>ネン</t>
    </rPh>
    <phoneticPr fontId="1"/>
  </si>
  <si>
    <t>2003年</t>
    <rPh sb="4" eb="5">
      <t>ネン</t>
    </rPh>
    <phoneticPr fontId="1"/>
  </si>
  <si>
    <t>2004年</t>
    <rPh sb="4" eb="5">
      <t>ネン</t>
    </rPh>
    <phoneticPr fontId="1"/>
  </si>
  <si>
    <t>2005年</t>
    <rPh sb="4" eb="5">
      <t>ネン</t>
    </rPh>
    <phoneticPr fontId="1"/>
  </si>
  <si>
    <t>2006年</t>
    <rPh sb="4" eb="5">
      <t>ネン</t>
    </rPh>
    <phoneticPr fontId="1"/>
  </si>
  <si>
    <t>2007年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</si>
  <si>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</si>
  <si>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</si>
  <si>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</si>
  <si>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</si>
  <si>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　３３　ビデオカメラ</t>
    <phoneticPr fontId="11"/>
  </si>
  <si>
    <t xml:space="preserve">  ３１  ゲーム機（ソフトは除く）</t>
    <phoneticPr fontId="11"/>
  </si>
  <si>
    <t>　３０　ビデオデッキ</t>
    <phoneticPr fontId="11"/>
  </si>
  <si>
    <t>　３２　カメラ（使い捨てのカメラは除く）</t>
    <rPh sb="8" eb="9">
      <t>ツカ</t>
    </rPh>
    <rPh sb="10" eb="11">
      <t>ス</t>
    </rPh>
    <rPh sb="17" eb="18">
      <t>ノゾ</t>
    </rPh>
    <phoneticPr fontId="11"/>
  </si>
  <si>
    <t>　２４　掃除機</t>
    <rPh sb="4" eb="7">
      <t>ソウジキ</t>
    </rPh>
    <phoneticPr fontId="12"/>
  </si>
  <si>
    <t>　２５　洗濯機</t>
    <rPh sb="4" eb="7">
      <t>センタクキ</t>
    </rPh>
    <phoneticPr fontId="12"/>
  </si>
  <si>
    <t xml:space="preserve">  ２９  テレビ</t>
    <phoneticPr fontId="11"/>
  </si>
  <si>
    <t>　２３　冷蔵庫</t>
    <rPh sb="4" eb="7">
      <t>レイゾウコ</t>
    </rPh>
    <phoneticPr fontId="12"/>
  </si>
  <si>
    <t>　２８　スマートフォン・携帯電話・ＰＨＳの本体価格</t>
    <rPh sb="12" eb="14">
      <t>ケイタイ</t>
    </rPh>
    <rPh sb="14" eb="16">
      <t>デンワ</t>
    </rPh>
    <rPh sb="21" eb="23">
      <t>ホンタイ</t>
    </rPh>
    <rPh sb="23" eb="25">
      <t>カカク</t>
    </rPh>
    <phoneticPr fontId="12"/>
  </si>
  <si>
    <t>　２７　パソコン（ﾀﾌﾞﾚｯﾄ型を含む。周辺機器・ｿﾌﾄは除く）</t>
    <phoneticPr fontId="11"/>
  </si>
  <si>
    <t>　２６　エアコン</t>
    <phoneticPr fontId="11"/>
  </si>
  <si>
    <t>金額</t>
    <rPh sb="0" eb="2">
      <t xml:space="preserve">キンガク </t>
    </rPh>
    <phoneticPr fontId="11"/>
  </si>
  <si>
    <t>項目</t>
    <rPh sb="0" eb="2">
      <t xml:space="preserve">コウモク </t>
    </rPh>
    <phoneticPr fontId="11"/>
  </si>
  <si>
    <t>家電の1ヶ月あたり１世帯の支出（円）</t>
    <rPh sb="0" eb="2">
      <t xml:space="preserve">カデン </t>
    </rPh>
    <rPh sb="13" eb="15">
      <t xml:space="preserve">シシュツ </t>
    </rPh>
    <phoneticPr fontId="11"/>
  </si>
  <si>
    <t>航空機事故　機種別事故件数</t>
    <rPh sb="0" eb="5">
      <t>コウクウキジコ</t>
    </rPh>
    <rPh sb="6" eb="9">
      <t>キシュベツ</t>
    </rPh>
    <rPh sb="9" eb="11">
      <t>ジコ</t>
    </rPh>
    <rPh sb="11" eb="13">
      <t>ケンスウ</t>
    </rPh>
    <phoneticPr fontId="1"/>
  </si>
  <si>
    <t>（1974年～2015年）</t>
    <rPh sb="5" eb="6">
      <t>ネン</t>
    </rPh>
    <rPh sb="11" eb="12">
      <t>ネン</t>
    </rPh>
    <phoneticPr fontId="1"/>
  </si>
  <si>
    <t>大卒初任給（円）</t>
    <rPh sb="0" eb="2">
      <t xml:space="preserve">ダイソツ </t>
    </rPh>
    <rPh sb="2" eb="5">
      <t xml:space="preserve">ショニンキュウ </t>
    </rPh>
    <rPh sb="6" eb="7">
      <t>エン</t>
    </rPh>
    <phoneticPr fontId="6"/>
  </si>
  <si>
    <t>平成12年</t>
    <phoneticPr fontId="1"/>
  </si>
  <si>
    <t>西暦</t>
    <rPh sb="0" eb="2">
      <t>セイレキ</t>
    </rPh>
    <phoneticPr fontId="1"/>
  </si>
  <si>
    <t>和暦</t>
    <rPh sb="0" eb="2">
      <t>ワレキ</t>
    </rPh>
    <phoneticPr fontId="1"/>
  </si>
  <si>
    <t>防衛関係費（当初予算）の推移</t>
    <rPh sb="0" eb="2">
      <t>ボウエイ</t>
    </rPh>
    <rPh sb="2" eb="5">
      <t>カンケイヒ</t>
    </rPh>
    <rPh sb="6" eb="8">
      <t>トウショ</t>
    </rPh>
    <rPh sb="8" eb="10">
      <t>ヨサン</t>
    </rPh>
    <rPh sb="12" eb="14">
      <t>スイイ</t>
    </rPh>
    <phoneticPr fontId="1"/>
  </si>
  <si>
    <t>和暦</t>
    <rPh sb="0" eb="2">
      <t>ワレキ</t>
    </rPh>
    <phoneticPr fontId="1"/>
  </si>
  <si>
    <t>西暦</t>
    <rPh sb="0" eb="2">
      <t>セイレキ</t>
    </rPh>
    <phoneticPr fontId="1"/>
  </si>
  <si>
    <t>防衛関係予算</t>
    <rPh sb="0" eb="2">
      <t>ボウエイ</t>
    </rPh>
    <rPh sb="2" eb="4">
      <t>カンケイ</t>
    </rPh>
    <rPh sb="4" eb="6">
      <t>ヨサン</t>
    </rPh>
    <phoneticPr fontId="1"/>
  </si>
  <si>
    <t>年度</t>
    <rPh sb="0" eb="2">
      <t>ネンド</t>
    </rPh>
    <phoneticPr fontId="1"/>
  </si>
  <si>
    <t>年代別懲戒処分者数</t>
    <rPh sb="0" eb="3">
      <t>ネンダイベツ</t>
    </rPh>
    <rPh sb="3" eb="7">
      <t>チョウカイショブン</t>
    </rPh>
    <rPh sb="7" eb="8">
      <t>シャ</t>
    </rPh>
    <rPh sb="8" eb="9">
      <t>スウ</t>
    </rPh>
    <phoneticPr fontId="1"/>
  </si>
  <si>
    <t>大卒初任給の変遷</t>
    <rPh sb="0" eb="2">
      <t>ダイソツ</t>
    </rPh>
    <rPh sb="2" eb="5">
      <t>ショニンキュウ</t>
    </rPh>
    <rPh sb="6" eb="8">
      <t>ヘンセン</t>
    </rPh>
    <phoneticPr fontId="1"/>
  </si>
  <si>
    <t>主要国の統計職員数</t>
    <rPh sb="0" eb="3">
      <t>シュヨウコク</t>
    </rPh>
    <rPh sb="4" eb="6">
      <t>トウケイ</t>
    </rPh>
    <rPh sb="6" eb="9">
      <t>ショクインスウ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</si>
</sst>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\ ###,###,##0;&quot;-&quot;###,###,##0"/>
  </numFmts>
  <fonts count="1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14"/>
      <name val="ＭＳ 明朝"/>
      <family val="1"/>
      <charset val="128"/>
    </font>
    <font>
      <sz val="10.5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0" fontId="9" fillId="0" borderId="0"/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Fill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176" fontId="0" fillId="0" borderId="1" xfId="2" applyNumberFormat="1" applyFont="1" applyBorder="1">
      <alignment vertical="center"/>
    </xf>
    <xf numFmtId="176" fontId="0" fillId="0" borderId="3" xfId="0" applyNumberFormat="1" applyBorder="1">
      <alignment vertical="center"/>
    </xf>
    <xf numFmtId="176" fontId="0" fillId="0" borderId="2" xfId="2" applyNumberFormat="1" applyFont="1" applyBorder="1">
      <alignment vertical="center"/>
    </xf>
    <xf numFmtId="38" fontId="0" fillId="0" borderId="1" xfId="1" applyFont="1" applyBorder="1">
      <alignment vertical="center"/>
    </xf>
    <xf numFmtId="38" fontId="0" fillId="0" borderId="2" xfId="1" applyFont="1" applyBorder="1">
      <alignment vertical="center"/>
    </xf>
    <xf numFmtId="38" fontId="0" fillId="0" borderId="3" xfId="1" applyFont="1" applyBorder="1">
      <alignment vertical="center"/>
    </xf>
    <xf numFmtId="0" fontId="0" fillId="0" borderId="1" xfId="0" applyBorder="1" applyAlignment="1">
      <alignment horizontal="center" vertical="center"/>
    </xf>
    <xf numFmtId="177" fontId="4" fillId="0" borderId="1" xfId="3" applyNumberFormat="1" applyFont="1" applyBorder="1" applyAlignment="1">
      <alignment vertical="center"/>
    </xf>
    <xf numFmtId="0" fontId="5" fillId="0" borderId="1" xfId="3" applyFont="1" applyBorder="1" applyAlignment="1">
      <alignment vertical="center"/>
    </xf>
    <xf numFmtId="177" fontId="7" fillId="0" borderId="1" xfId="3" applyNumberFormat="1" applyFont="1" applyBorder="1" applyAlignment="1">
      <alignment vertical="center"/>
    </xf>
    <xf numFmtId="0" fontId="8" fillId="0" borderId="1" xfId="3" applyFont="1" applyBorder="1" applyAlignment="1">
      <alignment vertical="center"/>
    </xf>
    <xf numFmtId="0" fontId="9" fillId="0" borderId="0" xfId="4"/>
    <xf numFmtId="178" fontId="10" fillId="0" borderId="1" xfId="4" quotePrefix="1" applyNumberFormat="1" applyFont="1" applyBorder="1" applyAlignment="1">
      <alignment horizontal="right"/>
    </xf>
    <xf numFmtId="0" fontId="10" fillId="0" borderId="1" xfId="4" applyFont="1" applyBorder="1"/>
    <xf numFmtId="0" fontId="9" fillId="0" borderId="1" xfId="4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0" xfId="1" applyFont="1" applyBorder="1">
      <alignment vertical="center"/>
    </xf>
  </cellXfs>
  <cellStyles count="5">
    <cellStyle name="パーセント" xfId="2" builtinId="5"/>
    <cellStyle name="桁区切り" xfId="1" builtinId="6"/>
    <cellStyle name="標準" xfId="0" builtinId="0"/>
    <cellStyle name="標準 2" xfId="4" xr:uid="{27EF6F60-2246-794E-B1BD-C27DB206FB57}"/>
    <cellStyle name="標準_初-H12図表(附第１表)" xfId="3" xr:uid="{926774D1-07E4-4C58-850F-9159991921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3-1044-83B6-897DBDBF37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3-1044-83B6-897DBDBF37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3-1044-83B6-897DBDBF37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3-1044-83B6-897DBDBF37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3-1044-83B6-897DBDBF37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3-1044-83B6-897DBDBF37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363-1044-83B6-897DBDBF37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363-1044-83B6-897DBDBF37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363-1044-83B6-897DBDBF37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363-1044-83B6-897DBDBF373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363-1044-83B6-897DBDBF3731}"/>
              </c:ext>
            </c:extLst>
          </c:dPt>
          <c:dLbls>
            <c:dLbl>
              <c:idx val="0"/>
              <c:layout>
                <c:manualLayout>
                  <c:x val="7.7727952167414044E-2"/>
                  <c:y val="8.56498873027798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63-1044-83B6-897DBDBF3731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036109250388645"/>
                      <c:h val="0.131925795053003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363-1044-83B6-897DBDBF3731}"/>
                </c:ext>
              </c:extLst>
            </c:dLbl>
            <c:dLbl>
              <c:idx val="7"/>
              <c:layout>
                <c:manualLayout>
                  <c:x val="-7.0254110612855011E-2"/>
                  <c:y val="4.65815176558978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63-1044-83B6-897DBDBF3731}"/>
                </c:ext>
              </c:extLst>
            </c:dLbl>
            <c:dLbl>
              <c:idx val="8"/>
              <c:layout>
                <c:manualLayout>
                  <c:x val="-0.10762331838565024"/>
                  <c:y val="1.35236664162284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63-1044-83B6-897DBDBF3731}"/>
                </c:ext>
              </c:extLst>
            </c:dLbl>
            <c:dLbl>
              <c:idx val="9"/>
              <c:layout>
                <c:manualLayout>
                  <c:x val="3.8863976083706973E-2"/>
                  <c:y val="1.502629601803155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63-1044-83B6-897DBDBF3731}"/>
                </c:ext>
              </c:extLst>
            </c:dLbl>
            <c:dLbl>
              <c:idx val="10"/>
              <c:layout>
                <c:manualLayout>
                  <c:x val="0.16591934136035685"/>
                  <c:y val="1.652892561983471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899097254098835"/>
                      <c:h val="5.75206611570248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E363-1044-83B6-897DBDBF3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[2]総世帯!$H$49:$H$59</c:f>
              <c:strCache>
                <c:ptCount val="11"/>
                <c:pt idx="0">
                  <c:v>　２３　冷蔵庫</c:v>
                </c:pt>
                <c:pt idx="1">
                  <c:v>　２４　掃除機</c:v>
                </c:pt>
                <c:pt idx="2">
                  <c:v>　２５　洗濯機</c:v>
                </c:pt>
                <c:pt idx="3">
                  <c:v>　２６　エアコン</c:v>
                </c:pt>
                <c:pt idx="4">
                  <c:v>　２７　パソコン（ﾀﾌﾞﾚｯﾄ型を含む。周辺機器・ｿﾌﾄは除く）</c:v>
                </c:pt>
                <c:pt idx="5">
                  <c:v>　２８　スマートフォン・携帯電話・ＰＨＳの本体価格</c:v>
                </c:pt>
                <c:pt idx="6">
                  <c:v>  ２９  テレビ</c:v>
                </c:pt>
                <c:pt idx="7">
                  <c:v>　３０　ビデオデッキ</c:v>
                </c:pt>
                <c:pt idx="8">
                  <c:v>  ３１  ゲーム機（ソフトは除く）</c:v>
                </c:pt>
                <c:pt idx="9">
                  <c:v>　３２　カメラ（使い捨てのカメラは除く）</c:v>
                </c:pt>
                <c:pt idx="10">
                  <c:v>　３３　ビデオカメラ</c:v>
                </c:pt>
              </c:strCache>
            </c:strRef>
          </c:cat>
          <c:val>
            <c:numRef>
              <c:f>[2]総世帯!$I$49:$I$59</c:f>
              <c:numCache>
                <c:formatCode>General</c:formatCode>
                <c:ptCount val="11"/>
                <c:pt idx="0">
                  <c:v>635</c:v>
                </c:pt>
                <c:pt idx="1">
                  <c:v>311</c:v>
                </c:pt>
                <c:pt idx="2">
                  <c:v>451</c:v>
                </c:pt>
                <c:pt idx="3">
                  <c:v>937</c:v>
                </c:pt>
                <c:pt idx="4">
                  <c:v>758</c:v>
                </c:pt>
                <c:pt idx="5">
                  <c:v>647</c:v>
                </c:pt>
                <c:pt idx="6">
                  <c:v>495</c:v>
                </c:pt>
                <c:pt idx="7">
                  <c:v>176</c:v>
                </c:pt>
                <c:pt idx="8">
                  <c:v>75</c:v>
                </c:pt>
                <c:pt idx="9">
                  <c:v>180</c:v>
                </c:pt>
                <c:pt idx="1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363-1044-83B6-897DBDBF37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342900</xdr:colOff>
      <xdr:row>5</xdr:row>
      <xdr:rowOff>88900</xdr:rowOff>
    </xdr:from>
    <xdr:to>
      <xdr:col>25</xdr:col>
      <xdr:colOff>825500</xdr:colOff>
      <xdr:row>45</xdr:row>
      <xdr:rowOff>165100</xdr:rowOff>
    </xdr:to>
    <xdr:graphicFrame macro="">
      <xdr:nvGraphicFramePr>
        <xdr:cNvPr id="3" name="グラフ 1">
          <a:extLst>
            <a:ext uri="{FF2B5EF4-FFF2-40B4-BE49-F238E27FC236}">
              <a16:creationId xmlns:a16="http://schemas.microsoft.com/office/drawing/2014/main" id="{55672569-6DBE-1045-AD6E-D3AE98F91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26465;&#20214;&#38598;&#35336;&#12503;&#12525;&#12464;&#12521;&#12512;&#12497;&#12501;&#12457;&#12540;&#12510;&#12531;&#1247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5903;&#20986;&#12486;&#12441;&#12540;&#1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パフォーマンステストの概要"/>
      <sheetName val="定義（総数）"/>
      <sheetName val="定義（日本人)"/>
      <sheetName val="定義（日本人以外) "/>
      <sheetName val="結果（総数）"/>
      <sheetName val="結果（日本人)"/>
      <sheetName val="結果（日本人以外) "/>
    </sheetNames>
    <sheetDataSet>
      <sheetData sheetId="0" refreshError="1"/>
      <sheetData sheetId="1">
        <row r="48">
          <cell r="B48" t="str">
            <v/>
          </cell>
          <cell r="C48" t="str">
            <v/>
          </cell>
          <cell r="E48" t="str">
            <v/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総世帯"/>
      <sheetName val="総世帯（勤）"/>
      <sheetName val="二人以上世帯"/>
      <sheetName val="二人以上世帯（勤）"/>
      <sheetName val="単身世帯"/>
    </sheetNames>
    <sheetDataSet>
      <sheetData sheetId="0">
        <row r="49">
          <cell r="H49" t="str">
            <v>　２３　冷蔵庫</v>
          </cell>
          <cell r="I49">
            <v>635</v>
          </cell>
        </row>
        <row r="50">
          <cell r="H50" t="str">
            <v>　２４　掃除機</v>
          </cell>
          <cell r="I50">
            <v>311</v>
          </cell>
        </row>
        <row r="51">
          <cell r="H51" t="str">
            <v>　２５　洗濯機</v>
          </cell>
          <cell r="I51">
            <v>451</v>
          </cell>
        </row>
        <row r="52">
          <cell r="H52" t="str">
            <v>　２６　エアコン</v>
          </cell>
          <cell r="I52">
            <v>937</v>
          </cell>
        </row>
        <row r="53">
          <cell r="H53" t="str">
            <v>　２７　パソコン（ﾀﾌﾞﾚｯﾄ型を含む。周辺機器・ｿﾌﾄは除く）</v>
          </cell>
          <cell r="I53">
            <v>758</v>
          </cell>
        </row>
        <row r="54">
          <cell r="H54" t="str">
            <v>　２８　スマートフォン・携帯電話・ＰＨＳの本体価格</v>
          </cell>
          <cell r="I54">
            <v>647</v>
          </cell>
        </row>
        <row r="55">
          <cell r="H55" t="str">
            <v xml:space="preserve">  ２９  テレビ</v>
          </cell>
          <cell r="I55">
            <v>495</v>
          </cell>
        </row>
        <row r="56">
          <cell r="H56" t="str">
            <v>　３０　ビデオデッキ</v>
          </cell>
          <cell r="I56">
            <v>176</v>
          </cell>
        </row>
        <row r="57">
          <cell r="H57" t="str">
            <v xml:space="preserve">  ３１  ゲーム機（ソフトは除く）</v>
          </cell>
          <cell r="I57">
            <v>75</v>
          </cell>
        </row>
        <row r="58">
          <cell r="H58" t="str">
            <v>　３２　カメラ（使い捨てのカメラは除く）</v>
          </cell>
          <cell r="I58">
            <v>180</v>
          </cell>
        </row>
        <row r="59">
          <cell r="H59" t="str">
            <v>　３３　ビデオカメラ</v>
          </cell>
          <cell r="I59">
            <v>47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4CD8-0322-1C44-A42F-16F60A5C73B8}">
  <sheetPr codeName="Sheet1"/>
  <dimension ref="A1:B7"/>
  <sheetViews>
    <sheetView tabSelected="1" workbookViewId="0"/>
  </sheetViews>
  <sheetFormatPr defaultColWidth="11.5546875" defaultRowHeight="19.5" x14ac:dyDescent="0.4"/>
  <sheetData>
    <row r="1" spans="1:2" x14ac:dyDescent="0.4">
      <c r="A1" t="s">
        <v>154</v>
      </c>
    </row>
    <row r="3" spans="1:2" x14ac:dyDescent="0.4">
      <c r="A3" s="1" t="s">
        <v>0</v>
      </c>
      <c r="B3" s="1" t="s">
        <v>1</v>
      </c>
    </row>
    <row r="4" spans="1:2" x14ac:dyDescent="0.4">
      <c r="A4" s="1" t="s">
        <v>2</v>
      </c>
      <c r="B4" s="1">
        <v>97</v>
      </c>
    </row>
    <row r="5" spans="1:2" x14ac:dyDescent="0.4">
      <c r="A5" s="1" t="s">
        <v>3</v>
      </c>
      <c r="B5" s="1">
        <v>78</v>
      </c>
    </row>
    <row r="6" spans="1:2" x14ac:dyDescent="0.4">
      <c r="A6" s="1" t="s">
        <v>4</v>
      </c>
      <c r="B6" s="1">
        <v>78</v>
      </c>
    </row>
    <row r="7" spans="1:2" x14ac:dyDescent="0.4">
      <c r="A7" s="1" t="s">
        <v>5</v>
      </c>
      <c r="B7" s="1">
        <v>94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CBE9-7926-4391-8766-0C8108A9524C}">
  <sheetPr codeName="Sheet2"/>
  <dimension ref="A1:C10"/>
  <sheetViews>
    <sheetView workbookViewId="0"/>
  </sheetViews>
  <sheetFormatPr defaultColWidth="8.6640625" defaultRowHeight="19.5" x14ac:dyDescent="0.4"/>
  <cols>
    <col min="1" max="1" width="14.6640625" customWidth="1"/>
    <col min="3" max="3" width="17.109375" customWidth="1"/>
  </cols>
  <sheetData>
    <row r="1" spans="1:3" x14ac:dyDescent="0.4">
      <c r="A1" t="s">
        <v>6</v>
      </c>
    </row>
    <row r="2" spans="1:3" x14ac:dyDescent="0.4">
      <c r="B2" t="s">
        <v>16</v>
      </c>
      <c r="C2">
        <v>477</v>
      </c>
    </row>
    <row r="3" spans="1:3" x14ac:dyDescent="0.4">
      <c r="A3" s="1" t="s">
        <v>13</v>
      </c>
      <c r="B3" s="1" t="s">
        <v>14</v>
      </c>
      <c r="C3" s="1" t="s">
        <v>17</v>
      </c>
    </row>
    <row r="4" spans="1:3" x14ac:dyDescent="0.4">
      <c r="A4" s="1" t="s">
        <v>7</v>
      </c>
      <c r="B4" s="1">
        <v>274</v>
      </c>
      <c r="C4" s="5">
        <f>B4/$C$2</f>
        <v>0.57442348008385746</v>
      </c>
    </row>
    <row r="5" spans="1:3" x14ac:dyDescent="0.4">
      <c r="A5" s="1" t="s">
        <v>8</v>
      </c>
      <c r="B5" s="1">
        <v>90</v>
      </c>
      <c r="C5" s="5">
        <f t="shared" ref="C5:C9" si="0">B5/$C$2</f>
        <v>0.18867924528301888</v>
      </c>
    </row>
    <row r="6" spans="1:3" x14ac:dyDescent="0.4">
      <c r="A6" s="1" t="s">
        <v>9</v>
      </c>
      <c r="B6" s="1">
        <v>76</v>
      </c>
      <c r="C6" s="5">
        <f t="shared" si="0"/>
        <v>0.15932914046121593</v>
      </c>
    </row>
    <row r="7" spans="1:3" x14ac:dyDescent="0.4">
      <c r="A7" s="1" t="s">
        <v>10</v>
      </c>
      <c r="B7" s="1">
        <v>36</v>
      </c>
      <c r="C7" s="5">
        <f t="shared" si="0"/>
        <v>7.5471698113207544E-2</v>
      </c>
    </row>
    <row r="8" spans="1:3" x14ac:dyDescent="0.4">
      <c r="A8" s="1" t="s">
        <v>11</v>
      </c>
      <c r="B8" s="1">
        <v>11</v>
      </c>
      <c r="C8" s="5">
        <f t="shared" si="0"/>
        <v>2.3060796645702306E-2</v>
      </c>
    </row>
    <row r="9" spans="1:3" ht="20.25" thickBot="1" x14ac:dyDescent="0.45">
      <c r="A9" s="4" t="s">
        <v>12</v>
      </c>
      <c r="B9" s="4">
        <v>35</v>
      </c>
      <c r="C9" s="7">
        <f t="shared" si="0"/>
        <v>7.337526205450734E-2</v>
      </c>
    </row>
    <row r="10" spans="1:3" ht="20.25" thickTop="1" x14ac:dyDescent="0.4">
      <c r="A10" s="2" t="s">
        <v>15</v>
      </c>
      <c r="B10" s="3"/>
      <c r="C10" s="6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5C72-D6A8-DD43-AAD0-A57ADF8111AD}">
  <sheetPr codeName="Sheet8"/>
  <dimension ref="A1:B14"/>
  <sheetViews>
    <sheetView workbookViewId="0"/>
  </sheetViews>
  <sheetFormatPr defaultColWidth="10.6640625" defaultRowHeight="12" x14ac:dyDescent="0.15"/>
  <cols>
    <col min="1" max="1" width="45.44140625" style="16" bestFit="1" customWidth="1"/>
    <col min="2" max="16384" width="10.6640625" style="16"/>
  </cols>
  <sheetData>
    <row r="1" spans="1:2" x14ac:dyDescent="0.15">
      <c r="A1" s="16" t="s">
        <v>142</v>
      </c>
    </row>
    <row r="3" spans="1:2" x14ac:dyDescent="0.15">
      <c r="A3" s="19" t="s">
        <v>141</v>
      </c>
      <c r="B3" s="19" t="s">
        <v>140</v>
      </c>
    </row>
    <row r="4" spans="1:2" x14ac:dyDescent="0.15">
      <c r="A4" s="18" t="s">
        <v>139</v>
      </c>
      <c r="B4" s="17">
        <v>937</v>
      </c>
    </row>
    <row r="5" spans="1:2" x14ac:dyDescent="0.15">
      <c r="A5" s="18" t="s">
        <v>138</v>
      </c>
      <c r="B5" s="17">
        <v>758</v>
      </c>
    </row>
    <row r="6" spans="1:2" x14ac:dyDescent="0.15">
      <c r="A6" s="18" t="s">
        <v>137</v>
      </c>
      <c r="B6" s="17">
        <v>647</v>
      </c>
    </row>
    <row r="7" spans="1:2" x14ac:dyDescent="0.15">
      <c r="A7" s="18" t="s">
        <v>136</v>
      </c>
      <c r="B7" s="17">
        <v>635</v>
      </c>
    </row>
    <row r="8" spans="1:2" x14ac:dyDescent="0.15">
      <c r="A8" s="18" t="s">
        <v>135</v>
      </c>
      <c r="B8" s="17">
        <v>495</v>
      </c>
    </row>
    <row r="9" spans="1:2" x14ac:dyDescent="0.15">
      <c r="A9" s="18" t="s">
        <v>134</v>
      </c>
      <c r="B9" s="17">
        <v>451</v>
      </c>
    </row>
    <row r="10" spans="1:2" x14ac:dyDescent="0.15">
      <c r="A10" s="18" t="s">
        <v>133</v>
      </c>
      <c r="B10" s="17">
        <v>311</v>
      </c>
    </row>
    <row r="11" spans="1:2" x14ac:dyDescent="0.15">
      <c r="A11" s="18" t="s">
        <v>132</v>
      </c>
      <c r="B11" s="17">
        <v>180</v>
      </c>
    </row>
    <row r="12" spans="1:2" x14ac:dyDescent="0.15">
      <c r="A12" s="18" t="s">
        <v>131</v>
      </c>
      <c r="B12" s="17">
        <v>176</v>
      </c>
    </row>
    <row r="13" spans="1:2" x14ac:dyDescent="0.15">
      <c r="A13" s="18" t="s">
        <v>130</v>
      </c>
      <c r="B13" s="17">
        <v>75</v>
      </c>
    </row>
    <row r="14" spans="1:2" x14ac:dyDescent="0.15">
      <c r="A14" s="18" t="s">
        <v>129</v>
      </c>
      <c r="B14" s="17">
        <v>47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7FF3-3F56-4F5E-918D-0DE873BB4AAF}">
  <sheetPr codeName="Sheet3"/>
  <dimension ref="A1:C10"/>
  <sheetViews>
    <sheetView workbookViewId="0"/>
  </sheetViews>
  <sheetFormatPr defaultColWidth="8.6640625" defaultRowHeight="19.5" x14ac:dyDescent="0.4"/>
  <cols>
    <col min="1" max="1" width="8.6640625" bestFit="1" customWidth="1"/>
  </cols>
  <sheetData>
    <row r="1" spans="1:3" x14ac:dyDescent="0.4">
      <c r="A1" t="s">
        <v>143</v>
      </c>
    </row>
    <row r="2" spans="1:3" x14ac:dyDescent="0.4">
      <c r="C2" t="s">
        <v>144</v>
      </c>
    </row>
    <row r="3" spans="1:3" x14ac:dyDescent="0.4">
      <c r="A3" s="1" t="s">
        <v>18</v>
      </c>
      <c r="B3" s="1" t="s">
        <v>19</v>
      </c>
    </row>
    <row r="4" spans="1:3" x14ac:dyDescent="0.4">
      <c r="A4" s="1" t="s">
        <v>20</v>
      </c>
      <c r="B4" s="1">
        <v>425</v>
      </c>
    </row>
    <row r="5" spans="1:3" x14ac:dyDescent="0.4">
      <c r="A5" s="1" t="s">
        <v>21</v>
      </c>
      <c r="B5" s="1">
        <v>373</v>
      </c>
    </row>
    <row r="6" spans="1:3" x14ac:dyDescent="0.4">
      <c r="A6" s="1" t="s">
        <v>22</v>
      </c>
      <c r="B6" s="1">
        <v>195</v>
      </c>
    </row>
    <row r="7" spans="1:3" x14ac:dyDescent="0.4">
      <c r="A7" s="1" t="s">
        <v>23</v>
      </c>
      <c r="B7" s="1">
        <v>163</v>
      </c>
    </row>
    <row r="8" spans="1:3" x14ac:dyDescent="0.4">
      <c r="A8" s="1" t="s">
        <v>24</v>
      </c>
      <c r="B8" s="1">
        <v>160</v>
      </c>
    </row>
    <row r="9" spans="1:3" x14ac:dyDescent="0.4">
      <c r="A9" s="1" t="s">
        <v>25</v>
      </c>
      <c r="B9" s="1">
        <v>23</v>
      </c>
    </row>
    <row r="10" spans="1:3" x14ac:dyDescent="0.4">
      <c r="A10" s="1" t="s">
        <v>26</v>
      </c>
      <c r="B10" s="1">
        <v>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71FA-F405-48BE-BF0E-624F6A33CD00}">
  <sheetPr codeName="Sheet4"/>
  <dimension ref="A1:H9"/>
  <sheetViews>
    <sheetView workbookViewId="0"/>
  </sheetViews>
  <sheetFormatPr defaultColWidth="8.6640625" defaultRowHeight="19.5" x14ac:dyDescent="0.4"/>
  <cols>
    <col min="6" max="6" width="16.33203125" bestFit="1" customWidth="1"/>
  </cols>
  <sheetData>
    <row r="1" spans="1:8" x14ac:dyDescent="0.4">
      <c r="A1" t="s">
        <v>156</v>
      </c>
    </row>
    <row r="2" spans="1:8" x14ac:dyDescent="0.4">
      <c r="F2" t="s">
        <v>35</v>
      </c>
    </row>
    <row r="3" spans="1:8" x14ac:dyDescent="0.4">
      <c r="A3" s="1"/>
      <c r="B3" s="11" t="s">
        <v>27</v>
      </c>
      <c r="C3" s="11" t="s">
        <v>34</v>
      </c>
      <c r="F3" s="1"/>
      <c r="G3" s="1" t="s">
        <v>27</v>
      </c>
      <c r="H3" s="1" t="s">
        <v>34</v>
      </c>
    </row>
    <row r="4" spans="1:8" x14ac:dyDescent="0.4">
      <c r="A4" s="1" t="s">
        <v>28</v>
      </c>
      <c r="B4" s="8">
        <v>4384</v>
      </c>
      <c r="C4" s="8">
        <v>1925</v>
      </c>
      <c r="F4" s="1" t="s">
        <v>36</v>
      </c>
      <c r="G4" s="8">
        <v>6</v>
      </c>
      <c r="H4" s="8">
        <v>7</v>
      </c>
    </row>
    <row r="5" spans="1:8" x14ac:dyDescent="0.4">
      <c r="A5" s="1" t="s">
        <v>29</v>
      </c>
      <c r="B5" s="8">
        <f>G8</f>
        <v>12288</v>
      </c>
      <c r="C5" s="8">
        <f>H8</f>
        <v>13022</v>
      </c>
      <c r="F5" s="1" t="s">
        <v>37</v>
      </c>
      <c r="G5" s="8">
        <v>9033</v>
      </c>
      <c r="H5" s="8">
        <v>9942</v>
      </c>
    </row>
    <row r="6" spans="1:8" x14ac:dyDescent="0.4">
      <c r="A6" s="1" t="s">
        <v>30</v>
      </c>
      <c r="B6" s="8">
        <v>3971</v>
      </c>
      <c r="C6" s="8">
        <v>3633</v>
      </c>
      <c r="F6" s="1" t="s">
        <v>38</v>
      </c>
      <c r="G6" s="8">
        <v>552</v>
      </c>
      <c r="H6" s="8">
        <v>492</v>
      </c>
    </row>
    <row r="7" spans="1:8" ht="20.25" thickBot="1" x14ac:dyDescent="0.45">
      <c r="A7" s="1" t="s">
        <v>31</v>
      </c>
      <c r="B7" s="8">
        <v>6452</v>
      </c>
      <c r="C7" s="8">
        <v>5868</v>
      </c>
      <c r="F7" s="4" t="s">
        <v>39</v>
      </c>
      <c r="G7" s="9">
        <v>2697</v>
      </c>
      <c r="H7" s="9">
        <v>2581</v>
      </c>
    </row>
    <row r="8" spans="1:8" ht="20.25" thickTop="1" x14ac:dyDescent="0.4">
      <c r="A8" s="1" t="s">
        <v>32</v>
      </c>
      <c r="B8" s="8">
        <v>2796</v>
      </c>
      <c r="C8" s="8">
        <v>2325</v>
      </c>
      <c r="F8" s="3" t="s">
        <v>15</v>
      </c>
      <c r="G8" s="10">
        <f>SUM(G4:G7)</f>
        <v>12288</v>
      </c>
      <c r="H8" s="10">
        <f>SUM(H4:H7)</f>
        <v>13022</v>
      </c>
    </row>
    <row r="9" spans="1:8" x14ac:dyDescent="0.4">
      <c r="A9" s="1" t="s">
        <v>33</v>
      </c>
      <c r="B9" s="8">
        <v>5177</v>
      </c>
      <c r="C9" s="8">
        <v>5358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3B91-D657-418E-A50B-781A610D1A38}">
  <sheetPr codeName="Sheet5"/>
  <dimension ref="A1:B9"/>
  <sheetViews>
    <sheetView workbookViewId="0">
      <selection sqref="A1:B1"/>
    </sheetView>
  </sheetViews>
  <sheetFormatPr defaultColWidth="8.6640625" defaultRowHeight="19.5" x14ac:dyDescent="0.4"/>
  <sheetData>
    <row r="1" spans="1:2" x14ac:dyDescent="0.4">
      <c r="A1" s="21" t="s">
        <v>40</v>
      </c>
      <c r="B1" s="21"/>
    </row>
    <row r="3" spans="1:2" x14ac:dyDescent="0.4">
      <c r="A3" s="1" t="s">
        <v>153</v>
      </c>
      <c r="B3" s="1" t="s">
        <v>47</v>
      </c>
    </row>
    <row r="4" spans="1:2" x14ac:dyDescent="0.4">
      <c r="A4" s="1" t="s">
        <v>41</v>
      </c>
      <c r="B4" s="1">
        <v>742</v>
      </c>
    </row>
    <row r="5" spans="1:2" x14ac:dyDescent="0.4">
      <c r="A5" s="1" t="s">
        <v>42</v>
      </c>
      <c r="B5" s="1">
        <v>753</v>
      </c>
    </row>
    <row r="6" spans="1:2" x14ac:dyDescent="0.4">
      <c r="A6" s="1" t="s">
        <v>43</v>
      </c>
      <c r="B6" s="1">
        <v>725</v>
      </c>
    </row>
    <row r="7" spans="1:2" x14ac:dyDescent="0.4">
      <c r="A7" s="1" t="s">
        <v>44</v>
      </c>
      <c r="B7" s="1">
        <v>801</v>
      </c>
    </row>
    <row r="8" spans="1:2" x14ac:dyDescent="0.4">
      <c r="A8" s="1" t="s">
        <v>45</v>
      </c>
      <c r="B8" s="1">
        <v>802</v>
      </c>
    </row>
    <row r="9" spans="1:2" x14ac:dyDescent="0.4">
      <c r="A9" s="1" t="s">
        <v>46</v>
      </c>
      <c r="B9" s="1">
        <v>816</v>
      </c>
    </row>
  </sheetData>
  <mergeCells count="1">
    <mergeCell ref="A1:B1"/>
  </mergeCells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3E04-1634-45B5-B3D2-3949BC04FDBB}">
  <sheetPr codeName="Sheet6"/>
  <dimension ref="A1:D23"/>
  <sheetViews>
    <sheetView workbookViewId="0"/>
  </sheetViews>
  <sheetFormatPr defaultColWidth="11.5546875" defaultRowHeight="19.5" x14ac:dyDescent="0.4"/>
  <cols>
    <col min="3" max="3" width="16.109375" bestFit="1" customWidth="1"/>
    <col min="4" max="4" width="14.109375" bestFit="1" customWidth="1"/>
  </cols>
  <sheetData>
    <row r="1" spans="1:4" x14ac:dyDescent="0.4">
      <c r="A1" t="s">
        <v>155</v>
      </c>
    </row>
    <row r="3" spans="1:4" x14ac:dyDescent="0.4">
      <c r="A3" s="1" t="s">
        <v>147</v>
      </c>
      <c r="B3" s="15" t="s">
        <v>148</v>
      </c>
      <c r="C3" s="15" t="s">
        <v>87</v>
      </c>
      <c r="D3" s="15" t="s">
        <v>145</v>
      </c>
    </row>
    <row r="4" spans="1:4" x14ac:dyDescent="0.4">
      <c r="A4" s="1" t="s">
        <v>86</v>
      </c>
      <c r="B4" s="15" t="s">
        <v>146</v>
      </c>
      <c r="C4" s="15">
        <v>193.7</v>
      </c>
      <c r="D4" s="8">
        <f>C4*1000</f>
        <v>193700</v>
      </c>
    </row>
    <row r="5" spans="1:4" x14ac:dyDescent="0.4">
      <c r="A5" s="1" t="s">
        <v>85</v>
      </c>
      <c r="B5" s="13" t="s">
        <v>84</v>
      </c>
      <c r="C5" s="14">
        <v>195.1</v>
      </c>
      <c r="D5" s="8">
        <f t="shared" ref="D5:D23" si="0">C5*1000</f>
        <v>195100</v>
      </c>
    </row>
    <row r="6" spans="1:4" x14ac:dyDescent="0.4">
      <c r="A6" s="1" t="s">
        <v>83</v>
      </c>
      <c r="B6" s="13" t="s">
        <v>82</v>
      </c>
      <c r="C6" s="14">
        <v>195.1</v>
      </c>
      <c r="D6" s="8">
        <f t="shared" si="0"/>
        <v>195100</v>
      </c>
    </row>
    <row r="7" spans="1:4" x14ac:dyDescent="0.4">
      <c r="A7" s="1" t="s">
        <v>81</v>
      </c>
      <c r="B7" s="13" t="s">
        <v>80</v>
      </c>
      <c r="C7" s="14">
        <v>198.1</v>
      </c>
      <c r="D7" s="8">
        <f t="shared" si="0"/>
        <v>198100</v>
      </c>
    </row>
    <row r="8" spans="1:4" x14ac:dyDescent="0.4">
      <c r="A8" s="1" t="s">
        <v>79</v>
      </c>
      <c r="B8" s="13" t="s">
        <v>78</v>
      </c>
      <c r="C8" s="14">
        <v>195</v>
      </c>
      <c r="D8" s="8">
        <f t="shared" si="0"/>
        <v>195000</v>
      </c>
    </row>
    <row r="9" spans="1:4" x14ac:dyDescent="0.4">
      <c r="A9" s="1" t="s">
        <v>77</v>
      </c>
      <c r="B9" s="13" t="s">
        <v>76</v>
      </c>
      <c r="C9" s="12">
        <v>193.9</v>
      </c>
      <c r="D9" s="8">
        <f t="shared" si="0"/>
        <v>193900</v>
      </c>
    </row>
    <row r="10" spans="1:4" x14ac:dyDescent="0.4">
      <c r="A10" s="1" t="s">
        <v>75</v>
      </c>
      <c r="B10" s="13" t="s">
        <v>74</v>
      </c>
      <c r="C10" s="12">
        <v>196.3</v>
      </c>
      <c r="D10" s="8">
        <f t="shared" si="0"/>
        <v>196300</v>
      </c>
    </row>
    <row r="11" spans="1:4" x14ac:dyDescent="0.4">
      <c r="A11" s="1" t="s">
        <v>73</v>
      </c>
      <c r="B11" s="13" t="s">
        <v>72</v>
      </c>
      <c r="C11" s="12">
        <v>195.8</v>
      </c>
      <c r="D11" s="8">
        <f t="shared" si="0"/>
        <v>195800</v>
      </c>
    </row>
    <row r="12" spans="1:4" x14ac:dyDescent="0.4">
      <c r="A12" s="1" t="s">
        <v>71</v>
      </c>
      <c r="B12" s="13" t="s">
        <v>70</v>
      </c>
      <c r="C12" s="12">
        <v>198.7</v>
      </c>
      <c r="D12" s="8">
        <f t="shared" si="0"/>
        <v>198700</v>
      </c>
    </row>
    <row r="13" spans="1:4" x14ac:dyDescent="0.4">
      <c r="A13" s="1" t="s">
        <v>69</v>
      </c>
      <c r="B13" s="13" t="s">
        <v>68</v>
      </c>
      <c r="C13" s="12">
        <v>198.8</v>
      </c>
      <c r="D13" s="8">
        <f t="shared" si="0"/>
        <v>198800</v>
      </c>
    </row>
    <row r="14" spans="1:4" x14ac:dyDescent="0.4">
      <c r="A14" s="1" t="s">
        <v>67</v>
      </c>
      <c r="B14" s="13" t="s">
        <v>66</v>
      </c>
      <c r="C14" s="12">
        <v>197.4</v>
      </c>
      <c r="D14" s="8">
        <f t="shared" si="0"/>
        <v>197400</v>
      </c>
    </row>
    <row r="15" spans="1:4" x14ac:dyDescent="0.4">
      <c r="A15" s="1" t="s">
        <v>65</v>
      </c>
      <c r="B15" s="13" t="s">
        <v>64</v>
      </c>
      <c r="C15" s="12">
        <v>202</v>
      </c>
      <c r="D15" s="8">
        <f t="shared" si="0"/>
        <v>202000</v>
      </c>
    </row>
    <row r="16" spans="1:4" x14ac:dyDescent="0.4">
      <c r="A16" s="1" t="s">
        <v>63</v>
      </c>
      <c r="B16" s="13" t="s">
        <v>62</v>
      </c>
      <c r="C16" s="12">
        <v>199.6</v>
      </c>
      <c r="D16" s="8">
        <f t="shared" si="0"/>
        <v>199600</v>
      </c>
    </row>
    <row r="17" spans="1:4" x14ac:dyDescent="0.4">
      <c r="A17" s="1" t="s">
        <v>61</v>
      </c>
      <c r="B17" s="13" t="s">
        <v>60</v>
      </c>
      <c r="C17" s="12">
        <v>198</v>
      </c>
      <c r="D17" s="8">
        <f t="shared" si="0"/>
        <v>198000</v>
      </c>
    </row>
    <row r="18" spans="1:4" x14ac:dyDescent="0.4">
      <c r="A18" s="1" t="s">
        <v>59</v>
      </c>
      <c r="B18" s="13" t="s">
        <v>58</v>
      </c>
      <c r="C18" s="12">
        <v>200.4</v>
      </c>
      <c r="D18" s="8">
        <f t="shared" si="0"/>
        <v>200400</v>
      </c>
    </row>
    <row r="19" spans="1:4" x14ac:dyDescent="0.4">
      <c r="A19" s="1" t="s">
        <v>57</v>
      </c>
      <c r="B19" s="13" t="s">
        <v>56</v>
      </c>
      <c r="C19" s="12">
        <v>202</v>
      </c>
      <c r="D19" s="8">
        <f t="shared" si="0"/>
        <v>202000</v>
      </c>
    </row>
    <row r="20" spans="1:4" x14ac:dyDescent="0.4">
      <c r="A20" s="1" t="s">
        <v>55</v>
      </c>
      <c r="B20" s="13" t="s">
        <v>54</v>
      </c>
      <c r="C20" s="12">
        <v>203.4</v>
      </c>
      <c r="D20" s="8">
        <f t="shared" si="0"/>
        <v>203400</v>
      </c>
    </row>
    <row r="21" spans="1:4" x14ac:dyDescent="0.4">
      <c r="A21" s="1" t="s">
        <v>53</v>
      </c>
      <c r="B21" s="13" t="s">
        <v>52</v>
      </c>
      <c r="C21" s="12">
        <v>206.1</v>
      </c>
      <c r="D21" s="8">
        <f t="shared" si="0"/>
        <v>206100</v>
      </c>
    </row>
    <row r="22" spans="1:4" x14ac:dyDescent="0.4">
      <c r="A22" s="1" t="s">
        <v>51</v>
      </c>
      <c r="B22" s="13" t="s">
        <v>50</v>
      </c>
      <c r="C22" s="12">
        <v>206.7</v>
      </c>
      <c r="D22" s="8">
        <f t="shared" si="0"/>
        <v>206700</v>
      </c>
    </row>
    <row r="23" spans="1:4" x14ac:dyDescent="0.4">
      <c r="A23" s="1" t="s">
        <v>49</v>
      </c>
      <c r="B23" s="13" t="s">
        <v>48</v>
      </c>
      <c r="C23" s="12">
        <v>210.2</v>
      </c>
      <c r="D23" s="8">
        <f t="shared" si="0"/>
        <v>210200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0BCC-3BE3-4C92-B490-9E3540D8B97D}">
  <sheetPr codeName="Sheet7"/>
  <dimension ref="A1:D27"/>
  <sheetViews>
    <sheetView workbookViewId="0">
      <selection sqref="A1:C1"/>
    </sheetView>
  </sheetViews>
  <sheetFormatPr defaultColWidth="8.6640625" defaultRowHeight="19.5" x14ac:dyDescent="0.4"/>
  <cols>
    <col min="1" max="1" width="10.6640625" bestFit="1" customWidth="1"/>
    <col min="2" max="2" width="7.33203125" bestFit="1" customWidth="1"/>
    <col min="3" max="3" width="12.44140625" bestFit="1" customWidth="1"/>
  </cols>
  <sheetData>
    <row r="1" spans="1:3" x14ac:dyDescent="0.4">
      <c r="A1" s="21" t="s">
        <v>149</v>
      </c>
      <c r="B1" s="21"/>
      <c r="C1" s="21"/>
    </row>
    <row r="2" spans="1:3" x14ac:dyDescent="0.4">
      <c r="A2" s="20"/>
      <c r="B2" s="20"/>
      <c r="C2" s="20"/>
    </row>
    <row r="3" spans="1:3" x14ac:dyDescent="0.4">
      <c r="A3" s="1" t="s">
        <v>150</v>
      </c>
      <c r="B3" s="1" t="s">
        <v>151</v>
      </c>
      <c r="C3" s="1" t="s">
        <v>152</v>
      </c>
    </row>
    <row r="4" spans="1:3" x14ac:dyDescent="0.4">
      <c r="A4" s="1" t="s">
        <v>90</v>
      </c>
      <c r="B4" s="1" t="s">
        <v>114</v>
      </c>
      <c r="C4" s="8">
        <v>49412</v>
      </c>
    </row>
    <row r="5" spans="1:3" x14ac:dyDescent="0.4">
      <c r="A5" s="1" t="s">
        <v>91</v>
      </c>
      <c r="B5" s="1" t="s">
        <v>115</v>
      </c>
      <c r="C5" s="8">
        <v>49287</v>
      </c>
    </row>
    <row r="6" spans="1:3" x14ac:dyDescent="0.4">
      <c r="A6" s="1" t="s">
        <v>92</v>
      </c>
      <c r="B6" s="1" t="s">
        <v>116</v>
      </c>
      <c r="C6" s="8">
        <v>49198</v>
      </c>
    </row>
    <row r="7" spans="1:3" x14ac:dyDescent="0.4">
      <c r="A7" s="1" t="s">
        <v>93</v>
      </c>
      <c r="B7" s="1" t="s">
        <v>117</v>
      </c>
      <c r="C7" s="8">
        <v>49215</v>
      </c>
    </row>
    <row r="8" spans="1:3" x14ac:dyDescent="0.4">
      <c r="A8" s="1" t="s">
        <v>94</v>
      </c>
      <c r="B8" s="1" t="s">
        <v>118</v>
      </c>
      <c r="C8" s="8">
        <v>49385</v>
      </c>
    </row>
    <row r="9" spans="1:3" x14ac:dyDescent="0.4">
      <c r="A9" s="1" t="s">
        <v>95</v>
      </c>
      <c r="B9" s="1" t="s">
        <v>119</v>
      </c>
      <c r="C9" s="8">
        <v>49392</v>
      </c>
    </row>
    <row r="10" spans="1:3" x14ac:dyDescent="0.4">
      <c r="A10" s="1" t="s">
        <v>96</v>
      </c>
      <c r="B10" s="1" t="s">
        <v>120</v>
      </c>
      <c r="C10" s="8">
        <v>49262</v>
      </c>
    </row>
    <row r="11" spans="1:3" x14ac:dyDescent="0.4">
      <c r="A11" s="1" t="s">
        <v>97</v>
      </c>
      <c r="B11" s="1" t="s">
        <v>121</v>
      </c>
      <c r="C11" s="8">
        <v>48760</v>
      </c>
    </row>
    <row r="12" spans="1:3" x14ac:dyDescent="0.4">
      <c r="A12" s="1" t="s">
        <v>98</v>
      </c>
      <c r="B12" s="1" t="s">
        <v>122</v>
      </c>
      <c r="C12" s="8">
        <v>48297</v>
      </c>
    </row>
    <row r="13" spans="1:3" x14ac:dyDescent="0.4">
      <c r="A13" s="1" t="s">
        <v>99</v>
      </c>
      <c r="B13" s="1" t="s">
        <v>123</v>
      </c>
      <c r="C13" s="8">
        <v>47903</v>
      </c>
    </row>
    <row r="14" spans="1:3" x14ac:dyDescent="0.4">
      <c r="A14" s="1" t="s">
        <v>100</v>
      </c>
      <c r="B14" s="1" t="s">
        <v>124</v>
      </c>
      <c r="C14" s="8">
        <v>47815</v>
      </c>
    </row>
    <row r="15" spans="1:3" x14ac:dyDescent="0.4">
      <c r="A15" s="1" t="s">
        <v>101</v>
      </c>
      <c r="B15" s="1" t="s">
        <v>27</v>
      </c>
      <c r="C15" s="8">
        <v>47426</v>
      </c>
    </row>
    <row r="16" spans="1:3" x14ac:dyDescent="0.4">
      <c r="A16" s="1" t="s">
        <v>102</v>
      </c>
      <c r="B16" s="1" t="s">
        <v>88</v>
      </c>
      <c r="C16" s="8">
        <v>47028</v>
      </c>
    </row>
    <row r="17" spans="1:4" x14ac:dyDescent="0.4">
      <c r="A17" s="1" t="s">
        <v>103</v>
      </c>
      <c r="B17" s="1" t="s">
        <v>89</v>
      </c>
      <c r="C17" s="8">
        <v>46826</v>
      </c>
    </row>
    <row r="18" spans="1:4" x14ac:dyDescent="0.4">
      <c r="A18" s="1" t="s">
        <v>104</v>
      </c>
      <c r="B18" s="1" t="s">
        <v>125</v>
      </c>
      <c r="C18" s="8">
        <v>46625</v>
      </c>
    </row>
    <row r="19" spans="1:4" x14ac:dyDescent="0.4">
      <c r="A19" s="1" t="s">
        <v>105</v>
      </c>
      <c r="B19" s="1" t="s">
        <v>126</v>
      </c>
      <c r="C19" s="8">
        <v>46453</v>
      </c>
    </row>
    <row r="20" spans="1:4" x14ac:dyDescent="0.4">
      <c r="A20" s="1" t="s">
        <v>106</v>
      </c>
      <c r="B20" s="1" t="s">
        <v>127</v>
      </c>
      <c r="C20" s="8">
        <v>46804</v>
      </c>
    </row>
    <row r="21" spans="1:4" x14ac:dyDescent="0.4">
      <c r="A21" s="1" t="s">
        <v>107</v>
      </c>
      <c r="B21" s="1" t="s">
        <v>128</v>
      </c>
      <c r="C21" s="8">
        <v>47838</v>
      </c>
    </row>
    <row r="22" spans="1:4" x14ac:dyDescent="0.4">
      <c r="A22" s="1" t="s">
        <v>108</v>
      </c>
      <c r="B22" s="1" t="s">
        <v>34</v>
      </c>
      <c r="C22" s="8">
        <v>48221</v>
      </c>
    </row>
    <row r="23" spans="1:4" x14ac:dyDescent="0.4">
      <c r="A23" s="1" t="s">
        <v>109</v>
      </c>
      <c r="B23" s="1" t="s">
        <v>41</v>
      </c>
      <c r="C23" s="8">
        <v>48607</v>
      </c>
    </row>
    <row r="24" spans="1:4" x14ac:dyDescent="0.4">
      <c r="A24" s="1" t="s">
        <v>110</v>
      </c>
      <c r="B24" s="1" t="s">
        <v>42</v>
      </c>
      <c r="C24" s="8">
        <v>48996</v>
      </c>
    </row>
    <row r="25" spans="1:4" x14ac:dyDescent="0.4">
      <c r="A25" s="1" t="s">
        <v>111</v>
      </c>
      <c r="B25" s="1" t="s">
        <v>43</v>
      </c>
      <c r="C25" s="8">
        <v>49388</v>
      </c>
      <c r="D25" s="22"/>
    </row>
    <row r="26" spans="1:4" x14ac:dyDescent="0.4">
      <c r="A26" s="1" t="s">
        <v>112</v>
      </c>
      <c r="B26" s="1" t="s">
        <v>44</v>
      </c>
      <c r="C26" s="8">
        <v>50070</v>
      </c>
      <c r="D26" s="22"/>
    </row>
    <row r="27" spans="1:4" x14ac:dyDescent="0.4">
      <c r="A27" s="1" t="s">
        <v>113</v>
      </c>
      <c r="B27" s="1" t="s">
        <v>45</v>
      </c>
      <c r="C27" s="8">
        <v>50688</v>
      </c>
      <c r="D27" s="22"/>
    </row>
  </sheetData>
  <mergeCells count="1">
    <mergeCell ref="A1:C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歪んだ円グラフ</vt:lpstr>
      <vt:lpstr>複数回答</vt:lpstr>
      <vt:lpstr>くじゃくグラフ</vt:lpstr>
      <vt:lpstr>３D円グラフ</vt:lpstr>
      <vt:lpstr>３D棒グラフ</vt:lpstr>
      <vt:lpstr>合格実績</vt:lpstr>
      <vt:lpstr>大卒初任給</vt:lpstr>
      <vt:lpstr>幽霊棒グラフ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takata miki</dc:creator>
  <cp:lastModifiedBy>mikitakata</cp:lastModifiedBy>
  <dcterms:created xsi:type="dcterms:W3CDTF">2021-11-04T02:23:29Z</dcterms:created>
  <dcterms:modified xsi:type="dcterms:W3CDTF">2021-11-11T08:43:55Z</dcterms:modified>
</cp:coreProperties>
</file>