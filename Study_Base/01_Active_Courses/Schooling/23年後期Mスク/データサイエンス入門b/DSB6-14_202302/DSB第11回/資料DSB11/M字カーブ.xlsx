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itakata/Dropbox/myStorage/講師/法政大学/2023年度/データサイエンス/講義資料/データサイエンス入門B/DSB11/添付資料/"/>
    </mc:Choice>
  </mc:AlternateContent>
  <xr:revisionPtr revIDLastSave="0" documentId="13_ncr:1_{0313A491-21CF-314C-8351-1B8611D56B6A}" xr6:coauthVersionLast="47" xr6:coauthVersionMax="47" xr10:uidLastSave="{00000000-0000-0000-0000-000000000000}"/>
  <bookViews>
    <workbookView xWindow="5480" yWindow="500" windowWidth="29220" windowHeight="18240" activeTab="1" xr2:uid="{00000000-000D-0000-FFFF-FFFF00000000}"/>
  </bookViews>
  <sheets>
    <sheet name="グラフ1" sheetId="2" r:id="rId1"/>
    <sheet name="FEH_00200521_230926173914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3" i="1" l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02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J8" i="1"/>
  <c r="T7" i="1"/>
  <c r="T9" i="1" s="1"/>
  <c r="U7" i="1"/>
  <c r="U9" i="1" s="1"/>
  <c r="V7" i="1"/>
  <c r="W7" i="1"/>
  <c r="W9" i="1" s="1"/>
  <c r="X7" i="1"/>
  <c r="X9" i="1" s="1"/>
  <c r="Y7" i="1"/>
  <c r="Y9" i="1" s="1"/>
  <c r="Z7" i="1"/>
  <c r="Z9" i="1" s="1"/>
  <c r="AA7" i="1"/>
  <c r="AB7" i="1"/>
  <c r="AC7" i="1"/>
  <c r="AD7" i="1"/>
  <c r="AD9" i="1" s="1"/>
  <c r="AE7" i="1"/>
  <c r="AE9" i="1" s="1"/>
  <c r="AF7" i="1"/>
  <c r="AG7" i="1"/>
  <c r="AG9" i="1" s="1"/>
  <c r="AH7" i="1"/>
  <c r="AH9" i="1" s="1"/>
  <c r="AI7" i="1"/>
  <c r="AI9" i="1" s="1"/>
  <c r="AJ7" i="1"/>
  <c r="AJ9" i="1" s="1"/>
  <c r="AK7" i="1"/>
  <c r="AL7" i="1"/>
  <c r="AM7" i="1"/>
  <c r="AN7" i="1"/>
  <c r="AN9" i="1" s="1"/>
  <c r="AO7" i="1"/>
  <c r="AO9" i="1" s="1"/>
  <c r="AP7" i="1"/>
  <c r="AQ7" i="1"/>
  <c r="AQ9" i="1" s="1"/>
  <c r="AR7" i="1"/>
  <c r="AR9" i="1" s="1"/>
  <c r="AS7" i="1"/>
  <c r="AS9" i="1" s="1"/>
  <c r="AT7" i="1"/>
  <c r="AT9" i="1" s="1"/>
  <c r="AU7" i="1"/>
  <c r="AV7" i="1"/>
  <c r="AW7" i="1"/>
  <c r="AX7" i="1"/>
  <c r="AX9" i="1" s="1"/>
  <c r="AY7" i="1"/>
  <c r="AY9" i="1" s="1"/>
  <c r="AZ7" i="1"/>
  <c r="BA7" i="1"/>
  <c r="BA9" i="1" s="1"/>
  <c r="BB7" i="1"/>
  <c r="BB9" i="1" s="1"/>
  <c r="BC7" i="1"/>
  <c r="BC9" i="1" s="1"/>
  <c r="BD7" i="1"/>
  <c r="BD9" i="1" s="1"/>
  <c r="K7" i="1"/>
  <c r="L7" i="1"/>
  <c r="M7" i="1"/>
  <c r="M9" i="1" s="1"/>
  <c r="N7" i="1"/>
  <c r="O7" i="1"/>
  <c r="O9" i="1" s="1"/>
  <c r="P7" i="1"/>
  <c r="P9" i="1" s="1"/>
  <c r="Q7" i="1"/>
  <c r="Q9" i="1" s="1"/>
  <c r="R7" i="1"/>
  <c r="R9" i="1" s="1"/>
  <c r="S7" i="1"/>
  <c r="J7" i="1"/>
  <c r="J9" i="1" s="1"/>
  <c r="S9" i="1" l="1"/>
  <c r="AZ9" i="1"/>
  <c r="AP9" i="1"/>
  <c r="AF9" i="1"/>
  <c r="V9" i="1"/>
  <c r="N9" i="1"/>
  <c r="AW9" i="1"/>
  <c r="AC9" i="1"/>
  <c r="L9" i="1"/>
  <c r="AV9" i="1"/>
  <c r="AL9" i="1"/>
  <c r="AB9" i="1"/>
  <c r="AM9" i="1"/>
  <c r="K9" i="1"/>
  <c r="AU9" i="1"/>
  <c r="AK9" i="1"/>
  <c r="AA9" i="1"/>
</calcChain>
</file>

<file path=xl/sharedStrings.xml><?xml version="1.0" encoding="utf-8"?>
<sst xmlns="http://schemas.openxmlformats.org/spreadsheetml/2006/main" count="571" uniqueCount="173">
  <si>
    <t>統計名：</t>
  </si>
  <si>
    <t>令和２年国勢調査 就業状態等基本集計　（主な内容：労働力状態，就業者の産業･職業，教育など）</t>
  </si>
  <si>
    <t>表番号：</t>
  </si>
  <si>
    <t>表題：</t>
  </si>
  <si>
    <t>[労働力状態・産業・職業・従業上の地位] 男女，年齢（各歳），国籍総数か日本人別労働力率（15歳以上）－全国，都道府県，21大都市，特別区，人口50万以上の市</t>
  </si>
  <si>
    <t>実施年月：</t>
  </si>
  <si>
    <t>2020年</t>
  </si>
  <si>
    <t>10月</t>
  </si>
  <si>
    <t>市区町村時点（年月日）：</t>
  </si>
  <si>
    <t>-</t>
  </si>
  <si>
    <t>***</t>
  </si>
  <si>
    <t>当該数値がないもの</t>
  </si>
  <si>
    <t>/表章事項 コード</t>
  </si>
  <si>
    <t>2020_50</t>
  </si>
  <si>
    <t>/表章事項</t>
  </si>
  <si>
    <t>労働力率【％】</t>
  </si>
  <si>
    <t>/全国～人口50万以上の市 コード</t>
  </si>
  <si>
    <t>時間軸（年次） コード</t>
  </si>
  <si>
    <t>時間軸（年次）</t>
  </si>
  <si>
    <t>男女 コード</t>
  </si>
  <si>
    <t>男女</t>
  </si>
  <si>
    <t>国籍総数か日本人 コード</t>
  </si>
  <si>
    <t>国籍総数か日本人</t>
  </si>
  <si>
    <t>年齢 コード</t>
  </si>
  <si>
    <t>年齢</t>
  </si>
  <si>
    <t>/全国～人口50万以上の市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</si>
  <si>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</si>
  <si>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</si>
  <si>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</si>
  <si>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</si>
  <si>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</si>
  <si>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</si>
  <si>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</si>
  <si>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</si>
  <si>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</si>
  <si>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</si>
  <si>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</si>
  <si>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</si>
  <si>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</si>
  <si>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</si>
  <si>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</si>
  <si>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</si>
  <si>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</si>
  <si>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</si>
  <si>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</si>
  <si>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</si>
  <si>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</si>
  <si>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</si>
  <si>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</si>
  <si>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</si>
  <si>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</si>
  <si>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</si>
  <si>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</si>
  <si>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</si>
  <si>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</si>
  <si>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</si>
  <si>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</si>
  <si>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</si>
  <si>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</si>
  <si>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</si>
  <si>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</si>
  <si>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</si>
  <si>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</si>
  <si>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</si>
  <si>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</si>
  <si>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</si>
  <si>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</si>
  <si>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</si>
  <si>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</si>
  <si>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</si>
  <si>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</si>
  <si>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</si>
  <si>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</si>
  <si>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女</t>
  </si>
  <si>
    <t>国籍総数</t>
  </si>
  <si>
    <t>15歳</t>
  </si>
  <si>
    <t>16歳</t>
  </si>
  <si>
    <t>17歳</t>
  </si>
  <si>
    <t>18歳</t>
  </si>
  <si>
    <t>19歳</t>
  </si>
  <si>
    <t>20歳</t>
  </si>
  <si>
    <t>21歳</t>
  </si>
  <si>
    <t>22歳</t>
  </si>
  <si>
    <t>23歳</t>
  </si>
  <si>
    <t>24歳</t>
  </si>
  <si>
    <t>25歳</t>
  </si>
  <si>
    <t>26歳</t>
  </si>
  <si>
    <t>27歳</t>
  </si>
  <si>
    <t>28歳</t>
  </si>
  <si>
    <t>29歳</t>
  </si>
  <si>
    <t>30歳</t>
  </si>
  <si>
    <t>31歳</t>
  </si>
  <si>
    <t>32歳</t>
  </si>
  <si>
    <t>33歳</t>
  </si>
  <si>
    <t>34歳</t>
  </si>
  <si>
    <t>35歳</t>
  </si>
  <si>
    <t>36歳</t>
  </si>
  <si>
    <t>37歳</t>
  </si>
  <si>
    <t>38歳</t>
  </si>
  <si>
    <t>39歳</t>
  </si>
  <si>
    <t>40歳</t>
  </si>
  <si>
    <t>41歳</t>
  </si>
  <si>
    <t>42歳</t>
  </si>
  <si>
    <t>43歳</t>
  </si>
  <si>
    <t>44歳</t>
  </si>
  <si>
    <t>45歳</t>
  </si>
  <si>
    <t>46歳</t>
  </si>
  <si>
    <t>47歳</t>
  </si>
  <si>
    <t>48歳</t>
  </si>
  <si>
    <t>49歳</t>
  </si>
  <si>
    <t>50歳</t>
  </si>
  <si>
    <t>51歳</t>
  </si>
  <si>
    <t>52歳</t>
  </si>
  <si>
    <t>53歳</t>
  </si>
  <si>
    <t>54歳</t>
  </si>
  <si>
    <t>55歳</t>
  </si>
  <si>
    <t>56歳</t>
  </si>
  <si>
    <t>57歳</t>
  </si>
  <si>
    <t>58歳</t>
  </si>
  <si>
    <t>59歳</t>
  </si>
  <si>
    <t>60歳</t>
  </si>
  <si>
    <t>61歳</t>
  </si>
  <si>
    <t>62歳</t>
  </si>
  <si>
    <t>63歳</t>
  </si>
  <si>
    <t>64歳</t>
  </si>
  <si>
    <t>65歳</t>
  </si>
  <si>
    <t>66歳</t>
  </si>
  <si>
    <t>67歳</t>
  </si>
  <si>
    <t>68歳</t>
  </si>
  <si>
    <t>69歳</t>
  </si>
  <si>
    <t>70歳</t>
  </si>
  <si>
    <t>71歳</t>
  </si>
  <si>
    <t>72歳</t>
  </si>
  <si>
    <t>73歳</t>
  </si>
  <si>
    <t>74歳</t>
  </si>
  <si>
    <t>75歳</t>
  </si>
  <si>
    <t>76歳</t>
  </si>
  <si>
    <t>77歳</t>
  </si>
  <si>
    <t>78歳</t>
  </si>
  <si>
    <t>79歳</t>
  </si>
  <si>
    <t>80歳</t>
  </si>
  <si>
    <t>81歳</t>
  </si>
  <si>
    <t>82歳</t>
  </si>
  <si>
    <t>83歳</t>
  </si>
  <si>
    <t>84歳</t>
  </si>
  <si>
    <t>85歳</t>
  </si>
  <si>
    <t>86歳</t>
  </si>
  <si>
    <t>87歳</t>
  </si>
  <si>
    <t>88歳</t>
  </si>
  <si>
    <t>89歳</t>
  </si>
  <si>
    <t>90歳</t>
  </si>
  <si>
    <t>91歳</t>
  </si>
  <si>
    <t>92歳</t>
  </si>
  <si>
    <t>93歳</t>
  </si>
  <si>
    <t>94歳</t>
  </si>
  <si>
    <t>95歳</t>
  </si>
  <si>
    <t>96歳</t>
  </si>
  <si>
    <t>97歳</t>
  </si>
  <si>
    <t>98歳</t>
  </si>
  <si>
    <t>99歳</t>
  </si>
  <si>
    <t>100歳以上</t>
  </si>
  <si>
    <t>ピーク</t>
    <phoneticPr fontId="18"/>
  </si>
  <si>
    <t>底</t>
    <rPh sb="0" eb="1">
      <t>ソコ</t>
    </rPh>
    <phoneticPr fontId="18"/>
  </si>
  <si>
    <t>差</t>
    <rPh sb="0" eb="1">
      <t>サ</t>
    </rPh>
    <phoneticPr fontId="18"/>
  </si>
  <si>
    <t>一般世帯</t>
    <rPh sb="0" eb="2">
      <t>イッパン</t>
    </rPh>
    <rPh sb="2" eb="4">
      <t>セタイ</t>
    </rPh>
    <phoneticPr fontId="18"/>
  </si>
  <si>
    <t>深さ</t>
    <rPh sb="0" eb="1">
      <t>フカ</t>
    </rPh>
    <phoneticPr fontId="18"/>
  </si>
  <si>
    <t>3世帯</t>
    <rPh sb="1" eb="3">
      <t>セタイ</t>
    </rPh>
    <phoneticPr fontId="18"/>
  </si>
  <si>
    <t>割合</t>
    <rPh sb="0" eb="2">
      <t>ワリアイ</t>
    </rPh>
    <phoneticPr fontId="18"/>
  </si>
  <si>
    <t>A1405_0～5歳人口【人】</t>
  </si>
  <si>
    <t>J2505_保育所等定員数（詳細票）【人】</t>
  </si>
  <si>
    <t>J250502_保育所等利用待機児童数【人】</t>
  </si>
  <si>
    <t>J2506_保育所等在所児数（詳細票）【人】</t>
  </si>
  <si>
    <t>定員割合</t>
    <rPh sb="0" eb="2">
      <t>テイイン</t>
    </rPh>
    <rPh sb="2" eb="4">
      <t>ワリアイ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</si>
</sst>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ＭＳ 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38" fontId="19" fillId="0" borderId="0" xfId="1" applyFont="1" applyFill="1" applyBorder="1" applyAlignment="1">
      <alignment horizontal="right" vertical="center"/>
    </xf>
    <xf numFmtId="10" fontId="0" fillId="0" borderId="0" xfId="2" applyNumberFormat="1" applyFont="1">
      <alignment vertical="center"/>
    </xf>
    <xf numFmtId="3" fontId="0" fillId="0" borderId="0" xfId="0" applyNumberFormat="1">
      <alignment vertical="center"/>
    </xf>
  </cellXfs>
  <cellStyles count="44">
    <cellStyle name="20% - アクセント 1" xfId="21" builtinId="30" customBuiltin="1"/>
    <cellStyle name="20% - アクセント 2" xfId="25" builtinId="34" customBuiltin="1"/>
    <cellStyle name="20% - アクセント 3" xfId="29" builtinId="38" customBuiltin="1"/>
    <cellStyle name="20% - アクセント 4" xfId="33" builtinId="42" customBuiltin="1"/>
    <cellStyle name="20% - アクセント 5" xfId="37" builtinId="46" customBuiltin="1"/>
    <cellStyle name="20% - アクセント 6" xfId="41" builtinId="50" customBuiltin="1"/>
    <cellStyle name="40% - アクセント 1" xfId="22" builtinId="31" customBuiltin="1"/>
    <cellStyle name="40% - アクセント 2" xfId="26" builtinId="35" customBuiltin="1"/>
    <cellStyle name="40% - アクセント 3" xfId="30" builtinId="39" customBuiltin="1"/>
    <cellStyle name="40% - アクセント 4" xfId="34" builtinId="43" customBuiltin="1"/>
    <cellStyle name="40% - アクセント 5" xfId="38" builtinId="47" customBuiltin="1"/>
    <cellStyle name="40% - アクセント 6" xfId="42" builtinId="51" customBuiltin="1"/>
    <cellStyle name="60% - アクセント 1" xfId="23" builtinId="32" customBuiltin="1"/>
    <cellStyle name="60% - アクセント 2" xfId="27" builtinId="36" customBuiltin="1"/>
    <cellStyle name="60% - アクセント 3" xfId="31" builtinId="40" customBuiltin="1"/>
    <cellStyle name="60% - アクセント 4" xfId="35" builtinId="44" customBuiltin="1"/>
    <cellStyle name="60% - アクセント 5" xfId="39" builtinId="48" customBuiltin="1"/>
    <cellStyle name="60% - アクセント 6" xfId="43" builtinId="52" customBuiltin="1"/>
    <cellStyle name="アクセント 1" xfId="20" builtinId="29" customBuiltin="1"/>
    <cellStyle name="アクセント 2" xfId="24" builtinId="33" customBuiltin="1"/>
    <cellStyle name="アクセント 3" xfId="28" builtinId="37" customBuiltin="1"/>
    <cellStyle name="アクセント 4" xfId="32" builtinId="41" customBuiltin="1"/>
    <cellStyle name="アクセント 5" xfId="36" builtinId="45" customBuiltin="1"/>
    <cellStyle name="アクセント 6" xfId="40" builtinId="49" customBuiltin="1"/>
    <cellStyle name="タイトル" xfId="3" builtinId="15" customBuiltin="1"/>
    <cellStyle name="チェック セル" xfId="15" builtinId="23" customBuiltin="1"/>
    <cellStyle name="どちらでもない" xfId="10" builtinId="28" customBuiltin="1"/>
    <cellStyle name="パーセント" xfId="2" builtinId="5"/>
    <cellStyle name="メモ" xfId="17" builtinId="10" customBuiltin="1"/>
    <cellStyle name="リンク セル" xfId="14" builtinId="24" customBuiltin="1"/>
    <cellStyle name="悪い" xfId="9" builtinId="27" customBuiltin="1"/>
    <cellStyle name="計算" xfId="13" builtinId="22" customBuiltin="1"/>
    <cellStyle name="警告文" xfId="16" builtinId="11" customBuiltin="1"/>
    <cellStyle name="桁区切り" xfId="1" builtinId="6"/>
    <cellStyle name="見出し 1" xfId="4" builtinId="16" customBuiltin="1"/>
    <cellStyle name="見出し 2" xfId="5" builtinId="17" customBuiltin="1"/>
    <cellStyle name="見出し 3" xfId="6" builtinId="18" customBuiltin="1"/>
    <cellStyle name="見出し 4" xfId="7" builtinId="19" customBuiltin="1"/>
    <cellStyle name="集計" xfId="19" builtinId="25" customBuiltin="1"/>
    <cellStyle name="出力" xfId="12" builtinId="21" customBuiltin="1"/>
    <cellStyle name="説明文" xfId="18" builtinId="53" customBuiltin="1"/>
    <cellStyle name="入力" xfId="11" builtinId="20" customBuiltin="1"/>
    <cellStyle name="標準" xfId="0" builtinId="0"/>
    <cellStyle name="良い" xfId="8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FEH_00200521_230926173914!$H$14:$H$99</c:f>
              <c:strCache>
                <c:ptCount val="86"/>
                <c:pt idx="0">
                  <c:v>15歳</c:v>
                </c:pt>
                <c:pt idx="1">
                  <c:v>16歳</c:v>
                </c:pt>
                <c:pt idx="2">
                  <c:v>17歳</c:v>
                </c:pt>
                <c:pt idx="3">
                  <c:v>18歳</c:v>
                </c:pt>
                <c:pt idx="4">
                  <c:v>19歳</c:v>
                </c:pt>
                <c:pt idx="5">
                  <c:v>20歳</c:v>
                </c:pt>
                <c:pt idx="6">
                  <c:v>21歳</c:v>
                </c:pt>
                <c:pt idx="7">
                  <c:v>22歳</c:v>
                </c:pt>
                <c:pt idx="8">
                  <c:v>23歳</c:v>
                </c:pt>
                <c:pt idx="9">
                  <c:v>24歳</c:v>
                </c:pt>
                <c:pt idx="10">
                  <c:v>25歳</c:v>
                </c:pt>
                <c:pt idx="11">
                  <c:v>26歳</c:v>
                </c:pt>
                <c:pt idx="12">
                  <c:v>27歳</c:v>
                </c:pt>
                <c:pt idx="13">
                  <c:v>28歳</c:v>
                </c:pt>
                <c:pt idx="14">
                  <c:v>29歳</c:v>
                </c:pt>
                <c:pt idx="15">
                  <c:v>30歳</c:v>
                </c:pt>
                <c:pt idx="16">
                  <c:v>31歳</c:v>
                </c:pt>
                <c:pt idx="17">
                  <c:v>32歳</c:v>
                </c:pt>
                <c:pt idx="18">
                  <c:v>33歳</c:v>
                </c:pt>
                <c:pt idx="19">
                  <c:v>34歳</c:v>
                </c:pt>
                <c:pt idx="20">
                  <c:v>35歳</c:v>
                </c:pt>
                <c:pt idx="21">
                  <c:v>36歳</c:v>
                </c:pt>
                <c:pt idx="22">
                  <c:v>37歳</c:v>
                </c:pt>
                <c:pt idx="23">
                  <c:v>38歳</c:v>
                </c:pt>
                <c:pt idx="24">
                  <c:v>39歳</c:v>
                </c:pt>
                <c:pt idx="25">
                  <c:v>40歳</c:v>
                </c:pt>
                <c:pt idx="26">
                  <c:v>41歳</c:v>
                </c:pt>
                <c:pt idx="27">
                  <c:v>42歳</c:v>
                </c:pt>
                <c:pt idx="28">
                  <c:v>43歳</c:v>
                </c:pt>
                <c:pt idx="29">
                  <c:v>44歳</c:v>
                </c:pt>
                <c:pt idx="30">
                  <c:v>45歳</c:v>
                </c:pt>
                <c:pt idx="31">
                  <c:v>46歳</c:v>
                </c:pt>
                <c:pt idx="32">
                  <c:v>47歳</c:v>
                </c:pt>
                <c:pt idx="33">
                  <c:v>48歳</c:v>
                </c:pt>
                <c:pt idx="34">
                  <c:v>49歳</c:v>
                </c:pt>
                <c:pt idx="35">
                  <c:v>50歳</c:v>
                </c:pt>
                <c:pt idx="36">
                  <c:v>51歳</c:v>
                </c:pt>
                <c:pt idx="37">
                  <c:v>52歳</c:v>
                </c:pt>
                <c:pt idx="38">
                  <c:v>53歳</c:v>
                </c:pt>
                <c:pt idx="39">
                  <c:v>54歳</c:v>
                </c:pt>
                <c:pt idx="40">
                  <c:v>55歳</c:v>
                </c:pt>
                <c:pt idx="41">
                  <c:v>56歳</c:v>
                </c:pt>
                <c:pt idx="42">
                  <c:v>57歳</c:v>
                </c:pt>
                <c:pt idx="43">
                  <c:v>58歳</c:v>
                </c:pt>
                <c:pt idx="44">
                  <c:v>59歳</c:v>
                </c:pt>
                <c:pt idx="45">
                  <c:v>60歳</c:v>
                </c:pt>
                <c:pt idx="46">
                  <c:v>61歳</c:v>
                </c:pt>
                <c:pt idx="47">
                  <c:v>62歳</c:v>
                </c:pt>
                <c:pt idx="48">
                  <c:v>63歳</c:v>
                </c:pt>
                <c:pt idx="49">
                  <c:v>64歳</c:v>
                </c:pt>
                <c:pt idx="50">
                  <c:v>65歳</c:v>
                </c:pt>
                <c:pt idx="51">
                  <c:v>66歳</c:v>
                </c:pt>
                <c:pt idx="52">
                  <c:v>67歳</c:v>
                </c:pt>
                <c:pt idx="53">
                  <c:v>68歳</c:v>
                </c:pt>
                <c:pt idx="54">
                  <c:v>69歳</c:v>
                </c:pt>
                <c:pt idx="55">
                  <c:v>70歳</c:v>
                </c:pt>
                <c:pt idx="56">
                  <c:v>71歳</c:v>
                </c:pt>
                <c:pt idx="57">
                  <c:v>72歳</c:v>
                </c:pt>
                <c:pt idx="58">
                  <c:v>73歳</c:v>
                </c:pt>
                <c:pt idx="59">
                  <c:v>74歳</c:v>
                </c:pt>
                <c:pt idx="60">
                  <c:v>75歳</c:v>
                </c:pt>
                <c:pt idx="61">
                  <c:v>76歳</c:v>
                </c:pt>
                <c:pt idx="62">
                  <c:v>77歳</c:v>
                </c:pt>
                <c:pt idx="63">
                  <c:v>78歳</c:v>
                </c:pt>
                <c:pt idx="64">
                  <c:v>79歳</c:v>
                </c:pt>
                <c:pt idx="65">
                  <c:v>80歳</c:v>
                </c:pt>
                <c:pt idx="66">
                  <c:v>81歳</c:v>
                </c:pt>
                <c:pt idx="67">
                  <c:v>82歳</c:v>
                </c:pt>
                <c:pt idx="68">
                  <c:v>83歳</c:v>
                </c:pt>
                <c:pt idx="69">
                  <c:v>84歳</c:v>
                </c:pt>
                <c:pt idx="70">
                  <c:v>85歳</c:v>
                </c:pt>
                <c:pt idx="71">
                  <c:v>86歳</c:v>
                </c:pt>
                <c:pt idx="72">
                  <c:v>87歳</c:v>
                </c:pt>
                <c:pt idx="73">
                  <c:v>88歳</c:v>
                </c:pt>
                <c:pt idx="74">
                  <c:v>89歳</c:v>
                </c:pt>
                <c:pt idx="75">
                  <c:v>90歳</c:v>
                </c:pt>
                <c:pt idx="76">
                  <c:v>91歳</c:v>
                </c:pt>
                <c:pt idx="77">
                  <c:v>92歳</c:v>
                </c:pt>
                <c:pt idx="78">
                  <c:v>93歳</c:v>
                </c:pt>
                <c:pt idx="79">
                  <c:v>94歳</c:v>
                </c:pt>
                <c:pt idx="80">
                  <c:v>95歳</c:v>
                </c:pt>
                <c:pt idx="81">
                  <c:v>96歳</c:v>
                </c:pt>
                <c:pt idx="82">
                  <c:v>97歳</c:v>
                </c:pt>
                <c:pt idx="83">
                  <c:v>98歳</c:v>
                </c:pt>
                <c:pt idx="84">
                  <c:v>99歳</c:v>
                </c:pt>
                <c:pt idx="85">
                  <c:v>100歳以上</c:v>
                </c:pt>
              </c:strCache>
            </c:strRef>
          </c:cat>
          <c:val>
            <c:numRef>
              <c:f>FEH_00200521_230926173914!$V$14:$V$99</c:f>
              <c:numCache>
                <c:formatCode>General</c:formatCode>
                <c:ptCount val="86"/>
                <c:pt idx="0">
                  <c:v>1.4886200000000001</c:v>
                </c:pt>
                <c:pt idx="1">
                  <c:v>5.7308199999999996</c:v>
                </c:pt>
                <c:pt idx="2">
                  <c:v>8.0098000000000003</c:v>
                </c:pt>
                <c:pt idx="3">
                  <c:v>24.536719999999999</c:v>
                </c:pt>
                <c:pt idx="4">
                  <c:v>43.099319999999999</c:v>
                </c:pt>
                <c:pt idx="5">
                  <c:v>51.815069999999999</c:v>
                </c:pt>
                <c:pt idx="6">
                  <c:v>58.287869999999998</c:v>
                </c:pt>
                <c:pt idx="7">
                  <c:v>72.947320000000005</c:v>
                </c:pt>
                <c:pt idx="8">
                  <c:v>86.106319999999997</c:v>
                </c:pt>
                <c:pt idx="9">
                  <c:v>89.38785</c:v>
                </c:pt>
                <c:pt idx="10">
                  <c:v>91.263030000000001</c:v>
                </c:pt>
                <c:pt idx="11">
                  <c:v>91.476339999999993</c:v>
                </c:pt>
                <c:pt idx="12">
                  <c:v>91.101299999999995</c:v>
                </c:pt>
                <c:pt idx="13">
                  <c:v>89.472110000000001</c:v>
                </c:pt>
                <c:pt idx="14">
                  <c:v>87.928640000000001</c:v>
                </c:pt>
                <c:pt idx="15">
                  <c:v>85.865449999999996</c:v>
                </c:pt>
                <c:pt idx="16">
                  <c:v>84.380489999999995</c:v>
                </c:pt>
                <c:pt idx="17">
                  <c:v>82.867570000000001</c:v>
                </c:pt>
                <c:pt idx="18">
                  <c:v>81.504260000000002</c:v>
                </c:pt>
                <c:pt idx="19">
                  <c:v>80.528649999999999</c:v>
                </c:pt>
                <c:pt idx="20">
                  <c:v>79.34366</c:v>
                </c:pt>
                <c:pt idx="21">
                  <c:v>78.857420000000005</c:v>
                </c:pt>
                <c:pt idx="22">
                  <c:v>78.317850000000007</c:v>
                </c:pt>
                <c:pt idx="23">
                  <c:v>77.816699999999997</c:v>
                </c:pt>
                <c:pt idx="24">
                  <c:v>77.820639999999997</c:v>
                </c:pt>
                <c:pt idx="25">
                  <c:v>77.674499999999995</c:v>
                </c:pt>
                <c:pt idx="26">
                  <c:v>78.24127</c:v>
                </c:pt>
                <c:pt idx="27">
                  <c:v>78.562910000000002</c:v>
                </c:pt>
                <c:pt idx="28">
                  <c:v>79.226190000000003</c:v>
                </c:pt>
                <c:pt idx="29">
                  <c:v>79.333479999999994</c:v>
                </c:pt>
                <c:pt idx="30">
                  <c:v>79.897620000000003</c:v>
                </c:pt>
                <c:pt idx="31">
                  <c:v>80.065730000000002</c:v>
                </c:pt>
                <c:pt idx="32">
                  <c:v>79.889039999999994</c:v>
                </c:pt>
                <c:pt idx="33">
                  <c:v>79.76088</c:v>
                </c:pt>
                <c:pt idx="34">
                  <c:v>80.054839999999999</c:v>
                </c:pt>
                <c:pt idx="35">
                  <c:v>79.236320000000006</c:v>
                </c:pt>
                <c:pt idx="36">
                  <c:v>78.94896</c:v>
                </c:pt>
                <c:pt idx="37">
                  <c:v>78.585359999999994</c:v>
                </c:pt>
                <c:pt idx="38">
                  <c:v>77.999350000000007</c:v>
                </c:pt>
                <c:pt idx="39">
                  <c:v>77.57826</c:v>
                </c:pt>
                <c:pt idx="40">
                  <c:v>76.691569999999999</c:v>
                </c:pt>
                <c:pt idx="41">
                  <c:v>75.424109999999999</c:v>
                </c:pt>
                <c:pt idx="42">
                  <c:v>74.186570000000003</c:v>
                </c:pt>
                <c:pt idx="43">
                  <c:v>72.584869999999995</c:v>
                </c:pt>
                <c:pt idx="44">
                  <c:v>70.919719999999998</c:v>
                </c:pt>
                <c:pt idx="45">
                  <c:v>67.816329999999994</c:v>
                </c:pt>
                <c:pt idx="46">
                  <c:v>65.290800000000004</c:v>
                </c:pt>
                <c:pt idx="47">
                  <c:v>62.65222</c:v>
                </c:pt>
                <c:pt idx="48">
                  <c:v>59.576390000000004</c:v>
                </c:pt>
                <c:pt idx="49">
                  <c:v>56.325580000000002</c:v>
                </c:pt>
                <c:pt idx="50">
                  <c:v>50.579149999999998</c:v>
                </c:pt>
                <c:pt idx="51">
                  <c:v>46.684469999999997</c:v>
                </c:pt>
                <c:pt idx="52">
                  <c:v>43.161430000000003</c:v>
                </c:pt>
                <c:pt idx="53">
                  <c:v>41.088859999999997</c:v>
                </c:pt>
                <c:pt idx="54">
                  <c:v>38.354799999999997</c:v>
                </c:pt>
                <c:pt idx="55">
                  <c:v>35.020650000000003</c:v>
                </c:pt>
                <c:pt idx="56">
                  <c:v>32.509329999999999</c:v>
                </c:pt>
                <c:pt idx="57">
                  <c:v>30.138339999999999</c:v>
                </c:pt>
                <c:pt idx="58">
                  <c:v>28.239249999999998</c:v>
                </c:pt>
                <c:pt idx="59">
                  <c:v>25.566220000000001</c:v>
                </c:pt>
                <c:pt idx="60">
                  <c:v>22.99663</c:v>
                </c:pt>
                <c:pt idx="61">
                  <c:v>20.766439999999999</c:v>
                </c:pt>
                <c:pt idx="62">
                  <c:v>18.766290000000001</c:v>
                </c:pt>
                <c:pt idx="63">
                  <c:v>16.876609999999999</c:v>
                </c:pt>
                <c:pt idx="64">
                  <c:v>14.986129999999999</c:v>
                </c:pt>
                <c:pt idx="65">
                  <c:v>13.506919999999999</c:v>
                </c:pt>
                <c:pt idx="66">
                  <c:v>11.238849999999999</c:v>
                </c:pt>
                <c:pt idx="67">
                  <c:v>10.24977</c:v>
                </c:pt>
                <c:pt idx="68">
                  <c:v>9.06236</c:v>
                </c:pt>
                <c:pt idx="69">
                  <c:v>7.9263300000000001</c:v>
                </c:pt>
                <c:pt idx="70">
                  <c:v>7.0929099999999998</c:v>
                </c:pt>
                <c:pt idx="71">
                  <c:v>6.1488300000000002</c:v>
                </c:pt>
                <c:pt idx="72">
                  <c:v>5.2764100000000003</c:v>
                </c:pt>
                <c:pt idx="73">
                  <c:v>4.7770700000000001</c:v>
                </c:pt>
                <c:pt idx="74">
                  <c:v>4.0872599999999997</c:v>
                </c:pt>
                <c:pt idx="75">
                  <c:v>3.8406500000000001</c:v>
                </c:pt>
                <c:pt idx="76">
                  <c:v>3.2566099999999998</c:v>
                </c:pt>
                <c:pt idx="77">
                  <c:v>3.1236299999999999</c:v>
                </c:pt>
                <c:pt idx="78">
                  <c:v>2.7678799999999999</c:v>
                </c:pt>
                <c:pt idx="79">
                  <c:v>2.8354400000000002</c:v>
                </c:pt>
                <c:pt idx="80">
                  <c:v>1.8790899999999999</c:v>
                </c:pt>
                <c:pt idx="81">
                  <c:v>1.8927</c:v>
                </c:pt>
                <c:pt idx="82">
                  <c:v>1.64096</c:v>
                </c:pt>
                <c:pt idx="83">
                  <c:v>1.3760300000000001</c:v>
                </c:pt>
                <c:pt idx="84">
                  <c:v>0.99192000000000002</c:v>
                </c:pt>
                <c:pt idx="85">
                  <c:v>0.98155000000000003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1-47C6-973B-FF2205FBD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548952"/>
        <c:axId val="299550752"/>
      </c:lineChart>
      <c:catAx>
        <c:axId val="299548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9550752"/>
        <c:crosses val="autoZero"/>
        <c:auto val="1"/>
        <c:lblAlgn val="ctr"/>
        <c:lblOffset val="100"/>
        <c:noMultiLvlLbl val="0"/>
      </c:catAx>
      <c:valAx>
        <c:axId val="29955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9548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4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7413" cy="6065804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89317E2-F51B-F23F-A8D8-FFE6FE75876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148"/>
  <sheetViews>
    <sheetView tabSelected="1" topLeftCell="A100" workbookViewId="0">
      <selection activeCell="A101" sqref="A101"/>
    </sheetView>
  </sheetViews>
  <sheetFormatPr baseColWidth="10" defaultColWidth="8.83203125" defaultRowHeight="18"/>
  <sheetData>
    <row r="1" spans="1:56">
      <c r="A1" t="s">
        <v>0</v>
      </c>
      <c r="B1" t="s">
        <v>1</v>
      </c>
    </row>
    <row r="2" spans="1:56">
      <c r="A2" t="s">
        <v>2</v>
      </c>
      <c r="B2" s="1">
        <v>36893</v>
      </c>
    </row>
    <row r="3" spans="1:56">
      <c r="A3" t="s">
        <v>3</v>
      </c>
      <c r="B3" t="s">
        <v>4</v>
      </c>
    </row>
    <row r="4" spans="1:56">
      <c r="A4" t="s">
        <v>5</v>
      </c>
      <c r="B4" t="s">
        <v>6</v>
      </c>
      <c r="C4" t="s">
        <v>7</v>
      </c>
    </row>
    <row r="5" spans="1:56">
      <c r="A5" t="s">
        <v>8</v>
      </c>
      <c r="B5" t="s">
        <v>9</v>
      </c>
    </row>
    <row r="6" spans="1:56">
      <c r="J6">
        <v>11.121020000000001</v>
      </c>
      <c r="K6">
        <v>5.2373800000000017</v>
      </c>
      <c r="L6">
        <v>6.2701899999999995</v>
      </c>
      <c r="M6">
        <v>10.355249999999998</v>
      </c>
      <c r="N6">
        <v>4.6412300000000073</v>
      </c>
      <c r="O6">
        <v>5.9878399999999914</v>
      </c>
      <c r="P6">
        <v>8.521649999999994</v>
      </c>
      <c r="Q6">
        <v>10.218399999999988</v>
      </c>
      <c r="R6">
        <v>11.286829999999995</v>
      </c>
      <c r="S6">
        <v>10.466650000000001</v>
      </c>
      <c r="T6">
        <v>15.69623</v>
      </c>
      <c r="U6">
        <v>14.947839999999999</v>
      </c>
      <c r="V6">
        <v>13.801839999999999</v>
      </c>
      <c r="W6">
        <v>17.188699999999997</v>
      </c>
      <c r="X6">
        <v>5.9787000000000035</v>
      </c>
      <c r="Y6">
        <v>7.6427300000000002</v>
      </c>
      <c r="Z6">
        <v>6.2020299999999935</v>
      </c>
      <c r="AA6">
        <v>7.1659800000000047</v>
      </c>
      <c r="AB6">
        <v>9.4397499999999894</v>
      </c>
      <c r="AC6">
        <v>12.20035</v>
      </c>
      <c r="AD6">
        <v>14.494869999999992</v>
      </c>
      <c r="AE6">
        <v>14.509900000000002</v>
      </c>
      <c r="AF6">
        <v>16.393090000000001</v>
      </c>
      <c r="AG6">
        <v>12.724720000000005</v>
      </c>
      <c r="AH6">
        <v>14.590780000000009</v>
      </c>
      <c r="AI6">
        <v>10.898429999999991</v>
      </c>
      <c r="AJ6">
        <v>13.83386999999999</v>
      </c>
      <c r="AK6">
        <v>14.419370000000001</v>
      </c>
      <c r="AL6">
        <v>15.709909999999994</v>
      </c>
      <c r="AM6">
        <v>12.330820000000003</v>
      </c>
      <c r="AN6">
        <v>7.222769999999997</v>
      </c>
      <c r="AO6">
        <v>5.7714600000000047</v>
      </c>
      <c r="AP6">
        <v>10.072460000000007</v>
      </c>
      <c r="AQ6">
        <v>11.914100000000005</v>
      </c>
      <c r="AR6">
        <v>12.009820000000005</v>
      </c>
      <c r="AS6">
        <v>6.4501899999999921</v>
      </c>
      <c r="AT6">
        <v>9.6927999999999912</v>
      </c>
      <c r="AU6">
        <v>10.327030000000008</v>
      </c>
      <c r="AV6">
        <v>5.0657800000000037</v>
      </c>
      <c r="AW6">
        <v>11.49166000000001</v>
      </c>
      <c r="AX6">
        <v>7.5149799999999942</v>
      </c>
      <c r="AY6">
        <v>8.4140699999999953</v>
      </c>
      <c r="AZ6">
        <v>6.64255</v>
      </c>
      <c r="BA6">
        <v>9.6158599999999979</v>
      </c>
      <c r="BB6">
        <v>5.8051200000000023</v>
      </c>
      <c r="BC6">
        <v>9.7011200000000031</v>
      </c>
      <c r="BD6">
        <v>6.7131899999999973</v>
      </c>
    </row>
    <row r="7" spans="1:56">
      <c r="A7" t="s">
        <v>10</v>
      </c>
      <c r="B7" t="s">
        <v>11</v>
      </c>
      <c r="I7" t="s">
        <v>161</v>
      </c>
      <c r="J7">
        <f>MAX(J14:J34)</f>
        <v>87.47963</v>
      </c>
      <c r="K7">
        <f t="shared" ref="K7:BD7" si="0">MAX(K14:K34)</f>
        <v>88.840890000000002</v>
      </c>
      <c r="L7">
        <f t="shared" si="0"/>
        <v>89.252449999999996</v>
      </c>
      <c r="M7">
        <f t="shared" si="0"/>
        <v>88.357950000000002</v>
      </c>
      <c r="N7">
        <f t="shared" si="0"/>
        <v>90.635210000000001</v>
      </c>
      <c r="O7">
        <f t="shared" si="0"/>
        <v>92.307689999999994</v>
      </c>
      <c r="P7">
        <f t="shared" si="0"/>
        <v>88.174409999999995</v>
      </c>
      <c r="Q7">
        <f t="shared" si="0"/>
        <v>87.668949999999995</v>
      </c>
      <c r="R7">
        <f t="shared" si="0"/>
        <v>88.152079999999998</v>
      </c>
      <c r="S7">
        <f t="shared" si="0"/>
        <v>88.691890000000001</v>
      </c>
      <c r="T7">
        <f t="shared" si="0"/>
        <v>89.541719999999998</v>
      </c>
      <c r="U7">
        <f t="shared" si="0"/>
        <v>89.356219999999993</v>
      </c>
      <c r="V7">
        <f t="shared" si="0"/>
        <v>91.476339999999993</v>
      </c>
      <c r="W7">
        <f t="shared" si="0"/>
        <v>90.238879999999995</v>
      </c>
      <c r="X7">
        <f t="shared" si="0"/>
        <v>91.162790000000001</v>
      </c>
      <c r="Y7">
        <f t="shared" si="0"/>
        <v>91.760120000000001</v>
      </c>
      <c r="Z7">
        <f t="shared" si="0"/>
        <v>89.528679999999994</v>
      </c>
      <c r="AA7">
        <f t="shared" si="0"/>
        <v>91.838130000000007</v>
      </c>
      <c r="AB7">
        <f t="shared" si="0"/>
        <v>89.301689999999994</v>
      </c>
      <c r="AC7">
        <f t="shared" si="0"/>
        <v>89.826689999999999</v>
      </c>
      <c r="AD7">
        <f t="shared" si="0"/>
        <v>89.568389999999994</v>
      </c>
      <c r="AE7">
        <f t="shared" si="0"/>
        <v>90.963589999999996</v>
      </c>
      <c r="AF7">
        <f t="shared" si="0"/>
        <v>89.608599999999996</v>
      </c>
      <c r="AG7">
        <f t="shared" si="0"/>
        <v>89.63964</v>
      </c>
      <c r="AH7">
        <f t="shared" si="0"/>
        <v>89.201790000000003</v>
      </c>
      <c r="AI7">
        <f t="shared" si="0"/>
        <v>87.879729999999995</v>
      </c>
      <c r="AJ7">
        <f t="shared" si="0"/>
        <v>88.620419999999996</v>
      </c>
      <c r="AK7">
        <f t="shared" si="0"/>
        <v>88.233840000000001</v>
      </c>
      <c r="AL7">
        <f t="shared" si="0"/>
        <v>88.095709999999997</v>
      </c>
      <c r="AM7">
        <f t="shared" si="0"/>
        <v>87.829679999999996</v>
      </c>
      <c r="AN7">
        <f t="shared" si="0"/>
        <v>91.331919999999997</v>
      </c>
      <c r="AO7">
        <f t="shared" si="0"/>
        <v>92.36842</v>
      </c>
      <c r="AP7">
        <f t="shared" si="0"/>
        <v>88.431190000000001</v>
      </c>
      <c r="AQ7">
        <f t="shared" si="0"/>
        <v>88.040450000000007</v>
      </c>
      <c r="AR7">
        <f t="shared" si="0"/>
        <v>87.14255</v>
      </c>
      <c r="AS7">
        <f t="shared" si="0"/>
        <v>87.836699999999993</v>
      </c>
      <c r="AT7">
        <f t="shared" si="0"/>
        <v>89.673429999999996</v>
      </c>
      <c r="AU7">
        <f t="shared" si="0"/>
        <v>87.923730000000006</v>
      </c>
      <c r="AV7">
        <f t="shared" si="0"/>
        <v>89.86551</v>
      </c>
      <c r="AW7">
        <f t="shared" si="0"/>
        <v>88.355450000000005</v>
      </c>
      <c r="AX7">
        <f t="shared" si="0"/>
        <v>89.646129999999999</v>
      </c>
      <c r="AY7">
        <f t="shared" si="0"/>
        <v>88.58032</v>
      </c>
      <c r="AZ7">
        <f t="shared" si="0"/>
        <v>89.473680000000002</v>
      </c>
      <c r="BA7">
        <f t="shared" si="0"/>
        <v>89.479280000000003</v>
      </c>
      <c r="BB7">
        <f t="shared" si="0"/>
        <v>89.316360000000003</v>
      </c>
      <c r="BC7">
        <f t="shared" si="0"/>
        <v>89.371719999999996</v>
      </c>
      <c r="BD7">
        <f t="shared" si="0"/>
        <v>88.298659999999998</v>
      </c>
    </row>
    <row r="8" spans="1:56">
      <c r="A8" t="s">
        <v>9</v>
      </c>
      <c r="B8" t="s">
        <v>11</v>
      </c>
      <c r="I8" t="s">
        <v>162</v>
      </c>
      <c r="J8">
        <f>MIN(J29:J39)</f>
        <v>76.358609999999999</v>
      </c>
      <c r="K8">
        <f t="shared" ref="K8:BD8" si="1">MIN(K29:K39)</f>
        <v>83.60351</v>
      </c>
      <c r="L8">
        <f t="shared" si="1"/>
        <v>82.982259999999997</v>
      </c>
      <c r="M8">
        <f t="shared" si="1"/>
        <v>78.002700000000004</v>
      </c>
      <c r="N8">
        <f t="shared" si="1"/>
        <v>85.993979999999993</v>
      </c>
      <c r="O8">
        <f t="shared" si="1"/>
        <v>86.319850000000002</v>
      </c>
      <c r="P8">
        <f t="shared" si="1"/>
        <v>79.652760000000001</v>
      </c>
      <c r="Q8">
        <f t="shared" si="1"/>
        <v>77.450550000000007</v>
      </c>
      <c r="R8">
        <f t="shared" si="1"/>
        <v>76.865250000000003</v>
      </c>
      <c r="S8">
        <f t="shared" si="1"/>
        <v>78.225239999999999</v>
      </c>
      <c r="T8">
        <f t="shared" si="1"/>
        <v>73.845489999999998</v>
      </c>
      <c r="U8">
        <f t="shared" si="1"/>
        <v>74.408379999999994</v>
      </c>
      <c r="V8">
        <f t="shared" si="1"/>
        <v>77.674499999999995</v>
      </c>
      <c r="W8">
        <f t="shared" si="1"/>
        <v>73.050179999999997</v>
      </c>
      <c r="X8">
        <f t="shared" si="1"/>
        <v>85.184089999999998</v>
      </c>
      <c r="Y8">
        <f t="shared" si="1"/>
        <v>84.11739</v>
      </c>
      <c r="Z8">
        <f t="shared" si="1"/>
        <v>83.326650000000001</v>
      </c>
      <c r="AA8">
        <f t="shared" si="1"/>
        <v>84.672150000000002</v>
      </c>
      <c r="AB8">
        <f t="shared" si="1"/>
        <v>79.861940000000004</v>
      </c>
      <c r="AC8">
        <f t="shared" si="1"/>
        <v>77.626339999999999</v>
      </c>
      <c r="AD8">
        <f t="shared" si="1"/>
        <v>75.073520000000002</v>
      </c>
      <c r="AE8">
        <f t="shared" si="1"/>
        <v>76.453689999999995</v>
      </c>
      <c r="AF8">
        <f t="shared" si="1"/>
        <v>73.215509999999995</v>
      </c>
      <c r="AG8">
        <f t="shared" si="1"/>
        <v>76.914919999999995</v>
      </c>
      <c r="AH8">
        <f t="shared" si="1"/>
        <v>74.611009999999993</v>
      </c>
      <c r="AI8">
        <f t="shared" si="1"/>
        <v>76.981300000000005</v>
      </c>
      <c r="AJ8">
        <f t="shared" si="1"/>
        <v>74.786550000000005</v>
      </c>
      <c r="AK8">
        <f t="shared" si="1"/>
        <v>73.81447</v>
      </c>
      <c r="AL8">
        <f t="shared" si="1"/>
        <v>72.385800000000003</v>
      </c>
      <c r="AM8">
        <f t="shared" si="1"/>
        <v>75.498859999999993</v>
      </c>
      <c r="AN8">
        <f t="shared" si="1"/>
        <v>84.10915</v>
      </c>
      <c r="AO8">
        <f t="shared" si="1"/>
        <v>86.596959999999996</v>
      </c>
      <c r="AP8">
        <f t="shared" si="1"/>
        <v>78.358729999999994</v>
      </c>
      <c r="AQ8">
        <f t="shared" si="1"/>
        <v>76.126350000000002</v>
      </c>
      <c r="AR8">
        <f t="shared" si="1"/>
        <v>75.132729999999995</v>
      </c>
      <c r="AS8">
        <f t="shared" si="1"/>
        <v>81.386510000000001</v>
      </c>
      <c r="AT8">
        <f t="shared" si="1"/>
        <v>79.980630000000005</v>
      </c>
      <c r="AU8">
        <f t="shared" si="1"/>
        <v>77.596699999999998</v>
      </c>
      <c r="AV8">
        <f t="shared" si="1"/>
        <v>84.799729999999997</v>
      </c>
      <c r="AW8">
        <f t="shared" si="1"/>
        <v>76.863789999999995</v>
      </c>
      <c r="AX8">
        <f t="shared" si="1"/>
        <v>82.131150000000005</v>
      </c>
      <c r="AY8">
        <f t="shared" si="1"/>
        <v>80.166250000000005</v>
      </c>
      <c r="AZ8">
        <f t="shared" si="1"/>
        <v>82.831130000000002</v>
      </c>
      <c r="BA8">
        <f t="shared" si="1"/>
        <v>79.863420000000005</v>
      </c>
      <c r="BB8">
        <f t="shared" si="1"/>
        <v>83.511240000000001</v>
      </c>
      <c r="BC8">
        <f t="shared" si="1"/>
        <v>79.670599999999993</v>
      </c>
      <c r="BD8">
        <f t="shared" si="1"/>
        <v>81.585470000000001</v>
      </c>
    </row>
    <row r="9" spans="1:56">
      <c r="I9" t="s">
        <v>163</v>
      </c>
      <c r="J9">
        <f>J7-J8</f>
        <v>11.121020000000001</v>
      </c>
      <c r="K9">
        <f t="shared" ref="K9:BD9" si="2">K7-K8</f>
        <v>5.2373800000000017</v>
      </c>
      <c r="L9">
        <f t="shared" si="2"/>
        <v>6.2701899999999995</v>
      </c>
      <c r="M9">
        <f t="shared" si="2"/>
        <v>10.355249999999998</v>
      </c>
      <c r="N9">
        <f t="shared" si="2"/>
        <v>4.6412300000000073</v>
      </c>
      <c r="O9">
        <f t="shared" si="2"/>
        <v>5.9878399999999914</v>
      </c>
      <c r="P9">
        <f t="shared" si="2"/>
        <v>8.521649999999994</v>
      </c>
      <c r="Q9">
        <f t="shared" si="2"/>
        <v>10.218399999999988</v>
      </c>
      <c r="R9">
        <f t="shared" si="2"/>
        <v>11.286829999999995</v>
      </c>
      <c r="S9">
        <f t="shared" si="2"/>
        <v>10.466650000000001</v>
      </c>
      <c r="T9">
        <f t="shared" si="2"/>
        <v>15.69623</v>
      </c>
      <c r="U9">
        <f t="shared" si="2"/>
        <v>14.947839999999999</v>
      </c>
      <c r="V9">
        <f t="shared" si="2"/>
        <v>13.801839999999999</v>
      </c>
      <c r="W9">
        <f t="shared" si="2"/>
        <v>17.188699999999997</v>
      </c>
      <c r="X9">
        <f t="shared" si="2"/>
        <v>5.9787000000000035</v>
      </c>
      <c r="Y9">
        <f t="shared" si="2"/>
        <v>7.6427300000000002</v>
      </c>
      <c r="Z9">
        <f t="shared" si="2"/>
        <v>6.2020299999999935</v>
      </c>
      <c r="AA9">
        <f t="shared" si="2"/>
        <v>7.1659800000000047</v>
      </c>
      <c r="AB9">
        <f t="shared" si="2"/>
        <v>9.4397499999999894</v>
      </c>
      <c r="AC9">
        <f t="shared" si="2"/>
        <v>12.20035</v>
      </c>
      <c r="AD9">
        <f t="shared" si="2"/>
        <v>14.494869999999992</v>
      </c>
      <c r="AE9">
        <f t="shared" si="2"/>
        <v>14.509900000000002</v>
      </c>
      <c r="AF9">
        <f t="shared" si="2"/>
        <v>16.393090000000001</v>
      </c>
      <c r="AG9">
        <f t="shared" si="2"/>
        <v>12.724720000000005</v>
      </c>
      <c r="AH9">
        <f t="shared" si="2"/>
        <v>14.590780000000009</v>
      </c>
      <c r="AI9">
        <f t="shared" si="2"/>
        <v>10.898429999999991</v>
      </c>
      <c r="AJ9">
        <f t="shared" si="2"/>
        <v>13.83386999999999</v>
      </c>
      <c r="AK9">
        <f t="shared" si="2"/>
        <v>14.419370000000001</v>
      </c>
      <c r="AL9">
        <f t="shared" si="2"/>
        <v>15.709909999999994</v>
      </c>
      <c r="AM9">
        <f t="shared" si="2"/>
        <v>12.330820000000003</v>
      </c>
      <c r="AN9">
        <f t="shared" si="2"/>
        <v>7.222769999999997</v>
      </c>
      <c r="AO9">
        <f t="shared" si="2"/>
        <v>5.7714600000000047</v>
      </c>
      <c r="AP9">
        <f t="shared" si="2"/>
        <v>10.072460000000007</v>
      </c>
      <c r="AQ9">
        <f t="shared" si="2"/>
        <v>11.914100000000005</v>
      </c>
      <c r="AR9">
        <f t="shared" si="2"/>
        <v>12.009820000000005</v>
      </c>
      <c r="AS9">
        <f t="shared" si="2"/>
        <v>6.4501899999999921</v>
      </c>
      <c r="AT9">
        <f t="shared" si="2"/>
        <v>9.6927999999999912</v>
      </c>
      <c r="AU9">
        <f t="shared" si="2"/>
        <v>10.327030000000008</v>
      </c>
      <c r="AV9">
        <f t="shared" si="2"/>
        <v>5.0657800000000037</v>
      </c>
      <c r="AW9">
        <f t="shared" si="2"/>
        <v>11.49166000000001</v>
      </c>
      <c r="AX9">
        <f t="shared" si="2"/>
        <v>7.5149799999999942</v>
      </c>
      <c r="AY9">
        <f t="shared" si="2"/>
        <v>8.4140699999999953</v>
      </c>
      <c r="AZ9">
        <f t="shared" si="2"/>
        <v>6.64255</v>
      </c>
      <c r="BA9">
        <f t="shared" si="2"/>
        <v>9.6158599999999979</v>
      </c>
      <c r="BB9">
        <f t="shared" si="2"/>
        <v>5.8051200000000023</v>
      </c>
      <c r="BC9">
        <f t="shared" si="2"/>
        <v>9.7011200000000031</v>
      </c>
      <c r="BD9">
        <f t="shared" si="2"/>
        <v>6.7131899999999973</v>
      </c>
    </row>
    <row r="10" spans="1:56">
      <c r="I10" t="s">
        <v>12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13</v>
      </c>
      <c r="W10" t="s">
        <v>13</v>
      </c>
      <c r="X10" t="s">
        <v>13</v>
      </c>
      <c r="Y10" t="s">
        <v>13</v>
      </c>
      <c r="Z10" t="s">
        <v>13</v>
      </c>
      <c r="AA10" t="s">
        <v>13</v>
      </c>
      <c r="AB10" t="s">
        <v>13</v>
      </c>
      <c r="AC10" t="s">
        <v>13</v>
      </c>
      <c r="AD10" t="s">
        <v>13</v>
      </c>
      <c r="AE10" t="s">
        <v>13</v>
      </c>
      <c r="AF10" t="s">
        <v>13</v>
      </c>
      <c r="AG10" t="s">
        <v>13</v>
      </c>
      <c r="AH10" t="s">
        <v>13</v>
      </c>
      <c r="AI10" t="s">
        <v>13</v>
      </c>
      <c r="AJ10" t="s">
        <v>13</v>
      </c>
      <c r="AK10" t="s">
        <v>13</v>
      </c>
      <c r="AL10" t="s">
        <v>13</v>
      </c>
      <c r="AM10" t="s">
        <v>13</v>
      </c>
      <c r="AN10" t="s">
        <v>13</v>
      </c>
      <c r="AO10" t="s">
        <v>13</v>
      </c>
      <c r="AP10" t="s">
        <v>13</v>
      </c>
      <c r="AQ10" t="s">
        <v>13</v>
      </c>
      <c r="AR10" t="s">
        <v>13</v>
      </c>
      <c r="AS10" t="s">
        <v>13</v>
      </c>
      <c r="AT10" t="s">
        <v>13</v>
      </c>
      <c r="AU10" t="s">
        <v>13</v>
      </c>
      <c r="AV10" t="s">
        <v>13</v>
      </c>
      <c r="AW10" t="s">
        <v>13</v>
      </c>
      <c r="AX10" t="s">
        <v>13</v>
      </c>
      <c r="AY10" t="s">
        <v>13</v>
      </c>
      <c r="AZ10" t="s">
        <v>13</v>
      </c>
      <c r="BA10" t="s">
        <v>13</v>
      </c>
      <c r="BB10" t="s">
        <v>13</v>
      </c>
      <c r="BC10" t="s">
        <v>13</v>
      </c>
      <c r="BD10" t="s">
        <v>13</v>
      </c>
    </row>
    <row r="11" spans="1:56">
      <c r="I11" t="s">
        <v>14</v>
      </c>
      <c r="J11" t="s">
        <v>15</v>
      </c>
      <c r="K11" t="s">
        <v>15</v>
      </c>
      <c r="L11" t="s">
        <v>15</v>
      </c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 t="s">
        <v>15</v>
      </c>
      <c r="W11" t="s">
        <v>15</v>
      </c>
      <c r="X11" t="s">
        <v>15</v>
      </c>
      <c r="Y11" t="s">
        <v>15</v>
      </c>
      <c r="Z11" t="s">
        <v>15</v>
      </c>
      <c r="AA11" t="s">
        <v>15</v>
      </c>
      <c r="AB11" t="s">
        <v>15</v>
      </c>
      <c r="AC11" t="s">
        <v>15</v>
      </c>
      <c r="AD11" t="s">
        <v>15</v>
      </c>
      <c r="AE11" t="s">
        <v>15</v>
      </c>
      <c r="AF11" t="s">
        <v>15</v>
      </c>
      <c r="AG11" t="s">
        <v>15</v>
      </c>
      <c r="AH11" t="s">
        <v>15</v>
      </c>
      <c r="AI11" t="s">
        <v>15</v>
      </c>
      <c r="AJ11" t="s">
        <v>15</v>
      </c>
      <c r="AK11" t="s">
        <v>15</v>
      </c>
      <c r="AL11" t="s">
        <v>15</v>
      </c>
      <c r="AM11" t="s">
        <v>15</v>
      </c>
      <c r="AN11" t="s">
        <v>15</v>
      </c>
      <c r="AO11" t="s">
        <v>15</v>
      </c>
      <c r="AP11" t="s">
        <v>15</v>
      </c>
      <c r="AQ11" t="s">
        <v>15</v>
      </c>
      <c r="AR11" t="s">
        <v>15</v>
      </c>
      <c r="AS11" t="s">
        <v>15</v>
      </c>
      <c r="AT11" t="s">
        <v>15</v>
      </c>
      <c r="AU11" t="s">
        <v>15</v>
      </c>
      <c r="AV11" t="s">
        <v>15</v>
      </c>
      <c r="AW11" t="s">
        <v>15</v>
      </c>
      <c r="AX11" t="s">
        <v>15</v>
      </c>
      <c r="AY11" t="s">
        <v>15</v>
      </c>
      <c r="AZ11" t="s">
        <v>15</v>
      </c>
      <c r="BA11" t="s">
        <v>15</v>
      </c>
      <c r="BB11" t="s">
        <v>15</v>
      </c>
      <c r="BC11" t="s">
        <v>15</v>
      </c>
      <c r="BD11" t="s">
        <v>15</v>
      </c>
    </row>
    <row r="12" spans="1:56">
      <c r="I12" t="s">
        <v>16</v>
      </c>
      <c r="J12">
        <v>1000</v>
      </c>
      <c r="K12">
        <v>2000</v>
      </c>
      <c r="L12">
        <v>3000</v>
      </c>
      <c r="M12">
        <v>4000</v>
      </c>
      <c r="N12">
        <v>5000</v>
      </c>
      <c r="O12">
        <v>6000</v>
      </c>
      <c r="P12">
        <v>7000</v>
      </c>
      <c r="Q12">
        <v>8000</v>
      </c>
      <c r="R12">
        <v>9000</v>
      </c>
      <c r="S12">
        <v>10000</v>
      </c>
      <c r="T12">
        <v>11000</v>
      </c>
      <c r="U12">
        <v>12000</v>
      </c>
      <c r="V12">
        <v>13000</v>
      </c>
      <c r="W12">
        <v>14000</v>
      </c>
      <c r="X12">
        <v>15000</v>
      </c>
      <c r="Y12">
        <v>16000</v>
      </c>
      <c r="Z12">
        <v>17000</v>
      </c>
      <c r="AA12">
        <v>18000</v>
      </c>
      <c r="AB12">
        <v>19000</v>
      </c>
      <c r="AC12">
        <v>20000</v>
      </c>
      <c r="AD12">
        <v>21000</v>
      </c>
      <c r="AE12">
        <v>22000</v>
      </c>
      <c r="AF12">
        <v>23000</v>
      </c>
      <c r="AG12">
        <v>24000</v>
      </c>
      <c r="AH12">
        <v>25000</v>
      </c>
      <c r="AI12">
        <v>26000</v>
      </c>
      <c r="AJ12">
        <v>27000</v>
      </c>
      <c r="AK12">
        <v>28000</v>
      </c>
      <c r="AL12">
        <v>29000</v>
      </c>
      <c r="AM12">
        <v>30000</v>
      </c>
      <c r="AN12">
        <v>31000</v>
      </c>
      <c r="AO12">
        <v>32000</v>
      </c>
      <c r="AP12">
        <v>33000</v>
      </c>
      <c r="AQ12">
        <v>34000</v>
      </c>
      <c r="AR12">
        <v>35000</v>
      </c>
      <c r="AS12">
        <v>36000</v>
      </c>
      <c r="AT12">
        <v>37000</v>
      </c>
      <c r="AU12">
        <v>38000</v>
      </c>
      <c r="AV12">
        <v>39000</v>
      </c>
      <c r="AW12">
        <v>40000</v>
      </c>
      <c r="AX12">
        <v>41000</v>
      </c>
      <c r="AY12">
        <v>42000</v>
      </c>
      <c r="AZ12">
        <v>43000</v>
      </c>
      <c r="BA12">
        <v>44000</v>
      </c>
      <c r="BB12">
        <v>45000</v>
      </c>
      <c r="BC12">
        <v>46000</v>
      </c>
      <c r="BD12">
        <v>47000</v>
      </c>
    </row>
    <row r="13" spans="1:56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  <c r="AC13" t="s">
        <v>45</v>
      </c>
      <c r="AD13" t="s">
        <v>46</v>
      </c>
      <c r="AE13" t="s">
        <v>47</v>
      </c>
      <c r="AF13" t="s">
        <v>48</v>
      </c>
      <c r="AG13" t="s">
        <v>49</v>
      </c>
      <c r="AH13" t="s">
        <v>50</v>
      </c>
      <c r="AI13" t="s">
        <v>51</v>
      </c>
      <c r="AJ13" t="s">
        <v>52</v>
      </c>
      <c r="AK13" t="s">
        <v>53</v>
      </c>
      <c r="AL13" t="s">
        <v>54</v>
      </c>
      <c r="AM13" t="s">
        <v>55</v>
      </c>
      <c r="AN13" t="s">
        <v>56</v>
      </c>
      <c r="AO13" t="s">
        <v>57</v>
      </c>
      <c r="AP13" t="s">
        <v>58</v>
      </c>
      <c r="AQ13" t="s">
        <v>59</v>
      </c>
      <c r="AR13" t="s">
        <v>60</v>
      </c>
      <c r="AS13" t="s">
        <v>61</v>
      </c>
      <c r="AT13" t="s">
        <v>62</v>
      </c>
      <c r="AU13" t="s">
        <v>63</v>
      </c>
      <c r="AV13" t="s">
        <v>64</v>
      </c>
      <c r="AW13" t="s">
        <v>65</v>
      </c>
      <c r="AX13" t="s">
        <v>66</v>
      </c>
      <c r="AY13" t="s">
        <v>67</v>
      </c>
      <c r="AZ13" t="s">
        <v>68</v>
      </c>
      <c r="BA13" t="s">
        <v>69</v>
      </c>
      <c r="BB13" t="s">
        <v>70</v>
      </c>
      <c r="BC13" t="s">
        <v>71</v>
      </c>
      <c r="BD13" t="s">
        <v>72</v>
      </c>
    </row>
    <row r="14" spans="1:56">
      <c r="A14">
        <v>2020000000</v>
      </c>
      <c r="B14" t="s">
        <v>6</v>
      </c>
      <c r="C14">
        <v>2</v>
      </c>
      <c r="D14" t="s">
        <v>73</v>
      </c>
      <c r="E14">
        <v>0</v>
      </c>
      <c r="F14" t="s">
        <v>74</v>
      </c>
      <c r="G14">
        <v>1</v>
      </c>
      <c r="H14" t="s">
        <v>75</v>
      </c>
      <c r="J14">
        <v>1.6179399999999999</v>
      </c>
      <c r="K14">
        <v>0.53410000000000002</v>
      </c>
      <c r="L14">
        <v>0.23729</v>
      </c>
      <c r="M14">
        <v>0.80044000000000004</v>
      </c>
      <c r="N14">
        <v>0.37634000000000001</v>
      </c>
      <c r="O14">
        <v>0.54091</v>
      </c>
      <c r="P14">
        <v>0.67249000000000003</v>
      </c>
      <c r="Q14">
        <v>1.5049300000000001</v>
      </c>
      <c r="R14">
        <v>0.92730000000000001</v>
      </c>
      <c r="S14">
        <v>0.78344999999999998</v>
      </c>
      <c r="T14">
        <v>1.80691</v>
      </c>
      <c r="U14">
        <v>2.0413299999999999</v>
      </c>
      <c r="V14">
        <v>1.4886200000000001</v>
      </c>
      <c r="W14">
        <v>2.93784</v>
      </c>
      <c r="X14">
        <v>0.75680999999999998</v>
      </c>
      <c r="Y14">
        <v>0.69162999999999997</v>
      </c>
      <c r="Z14">
        <v>0.61919999999999997</v>
      </c>
      <c r="AA14">
        <v>0.47253000000000001</v>
      </c>
      <c r="AB14">
        <v>0.33083000000000001</v>
      </c>
      <c r="AC14">
        <v>0.92771000000000003</v>
      </c>
      <c r="AD14">
        <v>1.27294</v>
      </c>
      <c r="AE14">
        <v>0.97567000000000004</v>
      </c>
      <c r="AF14">
        <v>1.2350399999999999</v>
      </c>
      <c r="AG14">
        <v>1.0783499999999999</v>
      </c>
      <c r="AH14">
        <v>1.54914</v>
      </c>
      <c r="AI14">
        <v>1.1556500000000001</v>
      </c>
      <c r="AJ14">
        <v>2.3188399999999998</v>
      </c>
      <c r="AK14">
        <v>1.0881400000000001</v>
      </c>
      <c r="AL14">
        <v>1.35575</v>
      </c>
      <c r="AM14">
        <v>2.0884200000000002</v>
      </c>
      <c r="AN14">
        <v>0.54805999999999999</v>
      </c>
      <c r="AO14">
        <v>0.58499999999999996</v>
      </c>
      <c r="AP14">
        <v>1.20482</v>
      </c>
      <c r="AQ14">
        <v>1.2391399999999999</v>
      </c>
      <c r="AR14">
        <v>0.71245999999999998</v>
      </c>
      <c r="AS14">
        <v>0.86336000000000002</v>
      </c>
      <c r="AT14">
        <v>1.0385</v>
      </c>
      <c r="AU14">
        <v>0.71562999999999999</v>
      </c>
      <c r="AV14">
        <v>1.22722</v>
      </c>
      <c r="AW14">
        <v>0.90778999999999999</v>
      </c>
      <c r="AX14">
        <v>0.52520999999999995</v>
      </c>
      <c r="AY14">
        <v>0.45952999999999999</v>
      </c>
      <c r="AZ14">
        <v>0.68493000000000004</v>
      </c>
      <c r="BA14">
        <v>0.62097999999999998</v>
      </c>
      <c r="BB14">
        <v>0.76285999999999998</v>
      </c>
      <c r="BC14">
        <v>0.59601999999999999</v>
      </c>
      <c r="BD14">
        <v>1.0201100000000001</v>
      </c>
    </row>
    <row r="15" spans="1:56">
      <c r="A15">
        <v>2020000000</v>
      </c>
      <c r="B15" t="s">
        <v>6</v>
      </c>
      <c r="C15">
        <v>2</v>
      </c>
      <c r="D15" t="s">
        <v>73</v>
      </c>
      <c r="E15">
        <v>0</v>
      </c>
      <c r="F15" t="s">
        <v>74</v>
      </c>
      <c r="G15">
        <v>2</v>
      </c>
      <c r="H15" t="s">
        <v>76</v>
      </c>
      <c r="J15">
        <v>6.24613</v>
      </c>
      <c r="K15">
        <v>1.9474199999999999</v>
      </c>
      <c r="L15">
        <v>1.6198300000000001</v>
      </c>
      <c r="M15">
        <v>2.5448599999999999</v>
      </c>
      <c r="N15">
        <v>1.1588499999999999</v>
      </c>
      <c r="O15">
        <v>1.6699600000000001</v>
      </c>
      <c r="P15">
        <v>2.8462700000000001</v>
      </c>
      <c r="Q15">
        <v>5.28878</v>
      </c>
      <c r="R15">
        <v>3.22295</v>
      </c>
      <c r="S15">
        <v>4.33066</v>
      </c>
      <c r="T15">
        <v>6.7440800000000003</v>
      </c>
      <c r="U15">
        <v>7.3639099999999997</v>
      </c>
      <c r="V15">
        <v>5.7308199999999996</v>
      </c>
      <c r="W15">
        <v>9.7953299999999999</v>
      </c>
      <c r="X15">
        <v>3.0369999999999999</v>
      </c>
      <c r="Y15">
        <v>2.13964</v>
      </c>
      <c r="Z15">
        <v>1.90358</v>
      </c>
      <c r="AA15">
        <v>1.87025</v>
      </c>
      <c r="AB15">
        <v>1.9619500000000001</v>
      </c>
      <c r="AC15">
        <v>3.2139700000000002</v>
      </c>
      <c r="AD15">
        <v>3.82803</v>
      </c>
      <c r="AE15">
        <v>3.0931799999999998</v>
      </c>
      <c r="AF15">
        <v>4.05436</v>
      </c>
      <c r="AG15">
        <v>3.3364500000000001</v>
      </c>
      <c r="AH15">
        <v>5.0090000000000003</v>
      </c>
      <c r="AI15">
        <v>3.9438200000000001</v>
      </c>
      <c r="AJ15">
        <v>7.7755599999999996</v>
      </c>
      <c r="AK15">
        <v>3.6173899999999999</v>
      </c>
      <c r="AL15">
        <v>4.4546299999999999</v>
      </c>
      <c r="AM15">
        <v>5.9763200000000003</v>
      </c>
      <c r="AN15">
        <v>1.9437599999999999</v>
      </c>
      <c r="AO15">
        <v>1.51355</v>
      </c>
      <c r="AP15">
        <v>4.2336900000000002</v>
      </c>
      <c r="AQ15">
        <v>3.9336000000000002</v>
      </c>
      <c r="AR15">
        <v>2.6794099999999998</v>
      </c>
      <c r="AS15">
        <v>2.9948899999999998</v>
      </c>
      <c r="AT15">
        <v>2.8853499999999999</v>
      </c>
      <c r="AU15">
        <v>2.4655999999999998</v>
      </c>
      <c r="AV15">
        <v>3.45363</v>
      </c>
      <c r="AW15">
        <v>3.6892900000000002</v>
      </c>
      <c r="AX15">
        <v>2.3740399999999999</v>
      </c>
      <c r="AY15">
        <v>1.33403</v>
      </c>
      <c r="AZ15">
        <v>2.9090400000000001</v>
      </c>
      <c r="BA15">
        <v>2.1763499999999998</v>
      </c>
      <c r="BB15">
        <v>2.7495099999999999</v>
      </c>
      <c r="BC15">
        <v>2.35277</v>
      </c>
      <c r="BD15">
        <v>5.3999699999999997</v>
      </c>
    </row>
    <row r="16" spans="1:56">
      <c r="A16">
        <v>2020000000</v>
      </c>
      <c r="B16" t="s">
        <v>6</v>
      </c>
      <c r="C16">
        <v>2</v>
      </c>
      <c r="D16" t="s">
        <v>73</v>
      </c>
      <c r="E16">
        <v>0</v>
      </c>
      <c r="F16" t="s">
        <v>74</v>
      </c>
      <c r="G16">
        <v>3</v>
      </c>
      <c r="H16" t="s">
        <v>77</v>
      </c>
      <c r="J16">
        <v>10.17037</v>
      </c>
      <c r="K16">
        <v>3.4121199999999998</v>
      </c>
      <c r="L16">
        <v>2.32558</v>
      </c>
      <c r="M16">
        <v>5.2055699999999998</v>
      </c>
      <c r="N16">
        <v>1.50396</v>
      </c>
      <c r="O16">
        <v>2.7427100000000002</v>
      </c>
      <c r="P16">
        <v>4.3602800000000004</v>
      </c>
      <c r="Q16">
        <v>7.7791800000000002</v>
      </c>
      <c r="R16">
        <v>5.3587199999999999</v>
      </c>
      <c r="S16">
        <v>6.0291300000000003</v>
      </c>
      <c r="T16">
        <v>9.5042399999999994</v>
      </c>
      <c r="U16">
        <v>10.083349999999999</v>
      </c>
      <c r="V16">
        <v>8.0098000000000003</v>
      </c>
      <c r="W16">
        <v>12.52253</v>
      </c>
      <c r="X16">
        <v>4.7655500000000002</v>
      </c>
      <c r="Y16">
        <v>3.2527699999999999</v>
      </c>
      <c r="Z16">
        <v>2.7054299999999998</v>
      </c>
      <c r="AA16">
        <v>2.9923099999999998</v>
      </c>
      <c r="AB16">
        <v>3.3176700000000001</v>
      </c>
      <c r="AC16">
        <v>6.0922099999999997</v>
      </c>
      <c r="AD16">
        <v>6.13286</v>
      </c>
      <c r="AE16">
        <v>5.0249300000000003</v>
      </c>
      <c r="AF16">
        <v>6.2786299999999997</v>
      </c>
      <c r="AG16">
        <v>5.3621800000000004</v>
      </c>
      <c r="AH16">
        <v>7.6441299999999996</v>
      </c>
      <c r="AI16">
        <v>6.35649</v>
      </c>
      <c r="AJ16">
        <v>10.09253</v>
      </c>
      <c r="AK16">
        <v>5.3453499999999998</v>
      </c>
      <c r="AL16">
        <v>6.2242199999999999</v>
      </c>
      <c r="AM16">
        <v>9.3758199999999992</v>
      </c>
      <c r="AN16">
        <v>3.2098800000000001</v>
      </c>
      <c r="AO16">
        <v>2.37276</v>
      </c>
      <c r="AP16">
        <v>6.0674999999999999</v>
      </c>
      <c r="AQ16">
        <v>5.3348199999999997</v>
      </c>
      <c r="AR16">
        <v>4.5610900000000001</v>
      </c>
      <c r="AS16">
        <v>3.8675999999999999</v>
      </c>
      <c r="AT16">
        <v>4.5753300000000001</v>
      </c>
      <c r="AU16">
        <v>3.3847900000000002</v>
      </c>
      <c r="AV16">
        <v>5.3712499999999999</v>
      </c>
      <c r="AW16">
        <v>5.4240199999999996</v>
      </c>
      <c r="AX16">
        <v>3.7422</v>
      </c>
      <c r="AY16">
        <v>2.8022800000000001</v>
      </c>
      <c r="AZ16">
        <v>4.68147</v>
      </c>
      <c r="BA16">
        <v>3.8242099999999999</v>
      </c>
      <c r="BB16">
        <v>4.0776700000000003</v>
      </c>
      <c r="BC16">
        <v>3.52284</v>
      </c>
      <c r="BD16">
        <v>7.4289500000000004</v>
      </c>
    </row>
    <row r="17" spans="1:56">
      <c r="A17">
        <v>2020000000</v>
      </c>
      <c r="B17" t="s">
        <v>6</v>
      </c>
      <c r="C17">
        <v>2</v>
      </c>
      <c r="D17" t="s">
        <v>73</v>
      </c>
      <c r="E17">
        <v>0</v>
      </c>
      <c r="F17" t="s">
        <v>74</v>
      </c>
      <c r="G17">
        <v>4</v>
      </c>
      <c r="H17" t="s">
        <v>78</v>
      </c>
      <c r="J17">
        <v>27.22897</v>
      </c>
      <c r="K17">
        <v>19.645530000000001</v>
      </c>
      <c r="L17">
        <v>18.301439999999999</v>
      </c>
      <c r="M17">
        <v>22.39649</v>
      </c>
      <c r="N17">
        <v>18.077390000000001</v>
      </c>
      <c r="O17">
        <v>20.10202</v>
      </c>
      <c r="P17">
        <v>20.32704</v>
      </c>
      <c r="Q17">
        <v>23.805859999999999</v>
      </c>
      <c r="R17">
        <v>21.43037</v>
      </c>
      <c r="S17">
        <v>22.79185</v>
      </c>
      <c r="T17">
        <v>27.87922</v>
      </c>
      <c r="U17">
        <v>26.342130000000001</v>
      </c>
      <c r="V17">
        <v>24.536719999999999</v>
      </c>
      <c r="W17">
        <v>28.34132</v>
      </c>
      <c r="X17">
        <v>19.359839999999998</v>
      </c>
      <c r="Y17">
        <v>18.845700000000001</v>
      </c>
      <c r="Z17">
        <v>19.85689</v>
      </c>
      <c r="AA17">
        <v>18.809979999999999</v>
      </c>
      <c r="AB17">
        <v>18.122630000000001</v>
      </c>
      <c r="AC17">
        <v>19.52244</v>
      </c>
      <c r="AD17">
        <v>24.654350000000001</v>
      </c>
      <c r="AE17">
        <v>24.21349</v>
      </c>
      <c r="AF17">
        <v>27.13411</v>
      </c>
      <c r="AG17">
        <v>23.728580000000001</v>
      </c>
      <c r="AH17">
        <v>26.13833</v>
      </c>
      <c r="AI17">
        <v>23.306529999999999</v>
      </c>
      <c r="AJ17">
        <v>26.57395</v>
      </c>
      <c r="AK17">
        <v>23.624079999999999</v>
      </c>
      <c r="AL17">
        <v>22.95082</v>
      </c>
      <c r="AM17">
        <v>24.724</v>
      </c>
      <c r="AN17">
        <v>18.799440000000001</v>
      </c>
      <c r="AO17">
        <v>18.059819999999998</v>
      </c>
      <c r="AP17">
        <v>23.364149999999999</v>
      </c>
      <c r="AQ17">
        <v>22.78058</v>
      </c>
      <c r="AR17">
        <v>23.161069999999999</v>
      </c>
      <c r="AS17">
        <v>18.784130000000001</v>
      </c>
      <c r="AT17">
        <v>19.27844</v>
      </c>
      <c r="AU17">
        <v>21.376280000000001</v>
      </c>
      <c r="AV17">
        <v>18.12677</v>
      </c>
      <c r="AW17">
        <v>23.43243</v>
      </c>
      <c r="AX17">
        <v>23.489740000000001</v>
      </c>
      <c r="AY17">
        <v>20.86891</v>
      </c>
      <c r="AZ17">
        <v>21.622</v>
      </c>
      <c r="BA17">
        <v>19.89433</v>
      </c>
      <c r="BB17">
        <v>20.116620000000001</v>
      </c>
      <c r="BC17">
        <v>19.354340000000001</v>
      </c>
      <c r="BD17">
        <v>22.41065</v>
      </c>
    </row>
    <row r="18" spans="1:56">
      <c r="A18">
        <v>2020000000</v>
      </c>
      <c r="B18" t="s">
        <v>6</v>
      </c>
      <c r="C18">
        <v>2</v>
      </c>
      <c r="D18" t="s">
        <v>73</v>
      </c>
      <c r="E18">
        <v>0</v>
      </c>
      <c r="F18" t="s">
        <v>74</v>
      </c>
      <c r="G18">
        <v>5</v>
      </c>
      <c r="H18" t="s">
        <v>79</v>
      </c>
      <c r="J18">
        <v>49.531970000000001</v>
      </c>
      <c r="K18">
        <v>47.965049999999998</v>
      </c>
      <c r="L18">
        <v>44.6526</v>
      </c>
      <c r="M18">
        <v>42.28716</v>
      </c>
      <c r="N18">
        <v>47.10971</v>
      </c>
      <c r="O18">
        <v>45.29307</v>
      </c>
      <c r="P18">
        <v>44.322710000000001</v>
      </c>
      <c r="Q18">
        <v>43.746720000000003</v>
      </c>
      <c r="R18">
        <v>42.717289999999998</v>
      </c>
      <c r="S18">
        <v>43.928089999999997</v>
      </c>
      <c r="T18">
        <v>47.63937</v>
      </c>
      <c r="U18">
        <v>46.537820000000004</v>
      </c>
      <c r="V18">
        <v>43.099319999999999</v>
      </c>
      <c r="W18">
        <v>46.106679999999997</v>
      </c>
      <c r="X18">
        <v>39.8598</v>
      </c>
      <c r="Y18">
        <v>41.166800000000002</v>
      </c>
      <c r="Z18">
        <v>41.094000000000001</v>
      </c>
      <c r="AA18">
        <v>47.043309999999998</v>
      </c>
      <c r="AB18">
        <v>37.942390000000003</v>
      </c>
      <c r="AC18">
        <v>40.546370000000003</v>
      </c>
      <c r="AD18">
        <v>49.194989999999997</v>
      </c>
      <c r="AE18">
        <v>49.831470000000003</v>
      </c>
      <c r="AF18">
        <v>51.870869999999996</v>
      </c>
      <c r="AG18">
        <v>49.645389999999999</v>
      </c>
      <c r="AH18">
        <v>47.788029999999999</v>
      </c>
      <c r="AI18">
        <v>42.269129999999997</v>
      </c>
      <c r="AJ18">
        <v>45.82376</v>
      </c>
      <c r="AK18">
        <v>44.986730000000001</v>
      </c>
      <c r="AL18">
        <v>42.69462</v>
      </c>
      <c r="AM18">
        <v>46.686450000000001</v>
      </c>
      <c r="AN18">
        <v>43.199179999999998</v>
      </c>
      <c r="AO18">
        <v>46.514870000000002</v>
      </c>
      <c r="AP18">
        <v>44.850960000000001</v>
      </c>
      <c r="AQ18">
        <v>46.358559999999997</v>
      </c>
      <c r="AR18">
        <v>50.70805</v>
      </c>
      <c r="AS18">
        <v>43.064019999999999</v>
      </c>
      <c r="AT18">
        <v>44.635599999999997</v>
      </c>
      <c r="AU18">
        <v>50.562359999999998</v>
      </c>
      <c r="AV18">
        <v>38.858449999999998</v>
      </c>
      <c r="AW18">
        <v>44.047420000000002</v>
      </c>
      <c r="AX18">
        <v>49.521039999999999</v>
      </c>
      <c r="AY18">
        <v>49.182499999999997</v>
      </c>
      <c r="AZ18">
        <v>48.391440000000003</v>
      </c>
      <c r="BA18">
        <v>43.327680000000001</v>
      </c>
      <c r="BB18">
        <v>48.421050000000001</v>
      </c>
      <c r="BC18">
        <v>44.837490000000003</v>
      </c>
      <c r="BD18">
        <v>44.004660000000001</v>
      </c>
    </row>
    <row r="19" spans="1:56">
      <c r="A19">
        <v>2020000000</v>
      </c>
      <c r="B19" t="s">
        <v>6</v>
      </c>
      <c r="C19">
        <v>2</v>
      </c>
      <c r="D19" t="s">
        <v>73</v>
      </c>
      <c r="E19">
        <v>0</v>
      </c>
      <c r="F19" t="s">
        <v>74</v>
      </c>
      <c r="G19">
        <v>6</v>
      </c>
      <c r="H19" t="s">
        <v>80</v>
      </c>
      <c r="J19">
        <v>60.054639999999999</v>
      </c>
      <c r="K19">
        <v>57.229349999999997</v>
      </c>
      <c r="L19">
        <v>57.294759999999997</v>
      </c>
      <c r="M19">
        <v>53.810760000000002</v>
      </c>
      <c r="N19">
        <v>59.247889999999998</v>
      </c>
      <c r="O19">
        <v>57.325009999999999</v>
      </c>
      <c r="P19">
        <v>56.21322</v>
      </c>
      <c r="Q19">
        <v>52.867269999999998</v>
      </c>
      <c r="R19">
        <v>53.576560000000001</v>
      </c>
      <c r="S19">
        <v>54.348930000000003</v>
      </c>
      <c r="T19">
        <v>56.903950000000002</v>
      </c>
      <c r="U19">
        <v>55.839750000000002</v>
      </c>
      <c r="V19">
        <v>51.815069999999999</v>
      </c>
      <c r="W19">
        <v>55.507710000000003</v>
      </c>
      <c r="X19">
        <v>52.406880000000001</v>
      </c>
      <c r="Y19">
        <v>56.842669999999998</v>
      </c>
      <c r="Z19">
        <v>52.986400000000003</v>
      </c>
      <c r="AA19">
        <v>60.057989999999997</v>
      </c>
      <c r="AB19">
        <v>50.738639999999997</v>
      </c>
      <c r="AC19">
        <v>55.112029999999997</v>
      </c>
      <c r="AD19">
        <v>60.042090000000002</v>
      </c>
      <c r="AE19">
        <v>60.223050000000001</v>
      </c>
      <c r="AF19">
        <v>59.83587</v>
      </c>
      <c r="AG19">
        <v>59.132809999999999</v>
      </c>
      <c r="AH19">
        <v>56.849319999999999</v>
      </c>
      <c r="AI19">
        <v>52.455269999999999</v>
      </c>
      <c r="AJ19">
        <v>55.239600000000003</v>
      </c>
      <c r="AK19">
        <v>54.411960000000001</v>
      </c>
      <c r="AL19">
        <v>51.167409999999997</v>
      </c>
      <c r="AM19">
        <v>54.758090000000003</v>
      </c>
      <c r="AN19">
        <v>56.742739999999998</v>
      </c>
      <c r="AO19">
        <v>59.142209999999999</v>
      </c>
      <c r="AP19">
        <v>54.063940000000002</v>
      </c>
      <c r="AQ19">
        <v>57.015079999999998</v>
      </c>
      <c r="AR19">
        <v>62.128329999999998</v>
      </c>
      <c r="AS19">
        <v>50.902929999999998</v>
      </c>
      <c r="AT19">
        <v>57.089669999999998</v>
      </c>
      <c r="AU19">
        <v>58.78716</v>
      </c>
      <c r="AV19">
        <v>52.674900000000001</v>
      </c>
      <c r="AW19">
        <v>54.959539999999997</v>
      </c>
      <c r="AX19">
        <v>59.231909999999999</v>
      </c>
      <c r="AY19">
        <v>57.347200000000001</v>
      </c>
      <c r="AZ19">
        <v>57.151409999999998</v>
      </c>
      <c r="BA19">
        <v>57.78116</v>
      </c>
      <c r="BB19">
        <v>61.723840000000003</v>
      </c>
      <c r="BC19">
        <v>60.07723</v>
      </c>
      <c r="BD19">
        <v>55.173780000000001</v>
      </c>
    </row>
    <row r="20" spans="1:56">
      <c r="A20">
        <v>2020000000</v>
      </c>
      <c r="B20" t="s">
        <v>6</v>
      </c>
      <c r="C20">
        <v>2</v>
      </c>
      <c r="D20" t="s">
        <v>73</v>
      </c>
      <c r="E20">
        <v>0</v>
      </c>
      <c r="F20" t="s">
        <v>74</v>
      </c>
      <c r="G20">
        <v>7</v>
      </c>
      <c r="H20" t="s">
        <v>81</v>
      </c>
      <c r="J20">
        <v>69.334490000000002</v>
      </c>
      <c r="K20">
        <v>65.55001</v>
      </c>
      <c r="L20">
        <v>67.17998</v>
      </c>
      <c r="M20">
        <v>62.511200000000002</v>
      </c>
      <c r="N20">
        <v>65.579980000000006</v>
      </c>
      <c r="O20">
        <v>66.538880000000006</v>
      </c>
      <c r="P20">
        <v>68.536199999999994</v>
      </c>
      <c r="Q20">
        <v>61.875</v>
      </c>
      <c r="R20">
        <v>61.948560000000001</v>
      </c>
      <c r="S20">
        <v>63.115600000000001</v>
      </c>
      <c r="T20">
        <v>63.404609999999998</v>
      </c>
      <c r="U20">
        <v>63.269500000000001</v>
      </c>
      <c r="V20">
        <v>58.287869999999998</v>
      </c>
      <c r="W20">
        <v>61.640479999999997</v>
      </c>
      <c r="X20">
        <v>66.451530000000005</v>
      </c>
      <c r="Y20">
        <v>69.868880000000004</v>
      </c>
      <c r="Z20">
        <v>62.624549999999999</v>
      </c>
      <c r="AA20">
        <v>67.015140000000002</v>
      </c>
      <c r="AB20">
        <v>58.565739999999998</v>
      </c>
      <c r="AC20">
        <v>68.624510000000001</v>
      </c>
      <c r="AD20">
        <v>66.985529999999997</v>
      </c>
      <c r="AE20">
        <v>69.552809999999994</v>
      </c>
      <c r="AF20">
        <v>66.132109999999997</v>
      </c>
      <c r="AG20">
        <v>67.937020000000004</v>
      </c>
      <c r="AH20">
        <v>64.116050000000001</v>
      </c>
      <c r="AI20">
        <v>58.903559999999999</v>
      </c>
      <c r="AJ20">
        <v>62.416840000000001</v>
      </c>
      <c r="AK20">
        <v>60.013190000000002</v>
      </c>
      <c r="AL20">
        <v>58.311390000000003</v>
      </c>
      <c r="AM20">
        <v>66.392899999999997</v>
      </c>
      <c r="AN20">
        <v>68.824439999999996</v>
      </c>
      <c r="AO20">
        <v>70.417069999999995</v>
      </c>
      <c r="AP20">
        <v>61.023530000000001</v>
      </c>
      <c r="AQ20">
        <v>62.842919999999999</v>
      </c>
      <c r="AR20">
        <v>70.101830000000007</v>
      </c>
      <c r="AS20">
        <v>58.00797</v>
      </c>
      <c r="AT20">
        <v>65.852860000000007</v>
      </c>
      <c r="AU20">
        <v>69.863339999999994</v>
      </c>
      <c r="AV20">
        <v>62.310169999999999</v>
      </c>
      <c r="AW20">
        <v>65.151870000000002</v>
      </c>
      <c r="AX20">
        <v>69.256860000000003</v>
      </c>
      <c r="AY20">
        <v>67.783779999999993</v>
      </c>
      <c r="AZ20">
        <v>64.637110000000007</v>
      </c>
      <c r="BA20">
        <v>69.564120000000003</v>
      </c>
      <c r="BB20">
        <v>70.475049999999996</v>
      </c>
      <c r="BC20">
        <v>72.32799</v>
      </c>
      <c r="BD20">
        <v>66.156899999999993</v>
      </c>
    </row>
    <row r="21" spans="1:56">
      <c r="A21">
        <v>2020000000</v>
      </c>
      <c r="B21" t="s">
        <v>6</v>
      </c>
      <c r="C21">
        <v>2</v>
      </c>
      <c r="D21" t="s">
        <v>73</v>
      </c>
      <c r="E21">
        <v>0</v>
      </c>
      <c r="F21" t="s">
        <v>74</v>
      </c>
      <c r="G21">
        <v>8</v>
      </c>
      <c r="H21" t="s">
        <v>82</v>
      </c>
      <c r="J21">
        <v>79.012410000000003</v>
      </c>
      <c r="K21">
        <v>74.573759999999993</v>
      </c>
      <c r="L21">
        <v>78.249480000000005</v>
      </c>
      <c r="M21">
        <v>74.719399999999993</v>
      </c>
      <c r="N21">
        <v>81</v>
      </c>
      <c r="O21">
        <v>79.524360000000001</v>
      </c>
      <c r="P21">
        <v>78.196010000000001</v>
      </c>
      <c r="Q21">
        <v>75.280900000000003</v>
      </c>
      <c r="R21">
        <v>74.226039999999998</v>
      </c>
      <c r="S21">
        <v>75.55556</v>
      </c>
      <c r="T21">
        <v>76.107900000000001</v>
      </c>
      <c r="U21">
        <v>75.985830000000007</v>
      </c>
      <c r="V21">
        <v>72.947320000000005</v>
      </c>
      <c r="W21">
        <v>74.979020000000006</v>
      </c>
      <c r="X21">
        <v>76.932220000000001</v>
      </c>
      <c r="Y21">
        <v>80.666489999999996</v>
      </c>
      <c r="Z21">
        <v>75.803399999999996</v>
      </c>
      <c r="AA21">
        <v>79.306650000000005</v>
      </c>
      <c r="AB21">
        <v>74.086489999999998</v>
      </c>
      <c r="AC21">
        <v>80.9482</v>
      </c>
      <c r="AD21">
        <v>78.971159999999998</v>
      </c>
      <c r="AE21">
        <v>80.512100000000004</v>
      </c>
      <c r="AF21">
        <v>78.252719999999997</v>
      </c>
      <c r="AG21">
        <v>79.233930000000001</v>
      </c>
      <c r="AH21">
        <v>75.266310000000004</v>
      </c>
      <c r="AI21">
        <v>69.926760000000002</v>
      </c>
      <c r="AJ21">
        <v>74.965379999999996</v>
      </c>
      <c r="AK21">
        <v>73.677369999999996</v>
      </c>
      <c r="AL21">
        <v>71.247550000000004</v>
      </c>
      <c r="AM21">
        <v>77.240939999999995</v>
      </c>
      <c r="AN21">
        <v>79.110650000000007</v>
      </c>
      <c r="AO21">
        <v>82.614680000000007</v>
      </c>
      <c r="AP21">
        <v>74.650549999999996</v>
      </c>
      <c r="AQ21">
        <v>75.670330000000007</v>
      </c>
      <c r="AR21">
        <v>77.877769999999998</v>
      </c>
      <c r="AS21">
        <v>70.311880000000002</v>
      </c>
      <c r="AT21">
        <v>78.647130000000004</v>
      </c>
      <c r="AU21">
        <v>79.776619999999994</v>
      </c>
      <c r="AV21">
        <v>76.236660000000001</v>
      </c>
      <c r="AW21">
        <v>77.293940000000006</v>
      </c>
      <c r="AX21">
        <v>79.308199999999999</v>
      </c>
      <c r="AY21">
        <v>77.53304</v>
      </c>
      <c r="AZ21">
        <v>76.302490000000006</v>
      </c>
      <c r="BA21">
        <v>80.960989999999995</v>
      </c>
      <c r="BB21">
        <v>80.244759999999999</v>
      </c>
      <c r="BC21">
        <v>81.863020000000006</v>
      </c>
      <c r="BD21">
        <v>76.702150000000003</v>
      </c>
    </row>
    <row r="22" spans="1:56">
      <c r="A22">
        <v>2020000000</v>
      </c>
      <c r="B22" t="s">
        <v>6</v>
      </c>
      <c r="C22">
        <v>2</v>
      </c>
      <c r="D22" t="s">
        <v>73</v>
      </c>
      <c r="E22">
        <v>0</v>
      </c>
      <c r="F22" t="s">
        <v>74</v>
      </c>
      <c r="G22">
        <v>9</v>
      </c>
      <c r="H22" t="s">
        <v>83</v>
      </c>
      <c r="J22">
        <v>86.542689999999993</v>
      </c>
      <c r="K22">
        <v>87.552970000000002</v>
      </c>
      <c r="L22">
        <v>87.224670000000003</v>
      </c>
      <c r="M22">
        <v>86.3904</v>
      </c>
      <c r="N22">
        <v>89.280249999999995</v>
      </c>
      <c r="O22">
        <v>89.70984</v>
      </c>
      <c r="P22">
        <v>87.031549999999996</v>
      </c>
      <c r="Q22">
        <v>85.814070000000001</v>
      </c>
      <c r="R22">
        <v>85.581869999999995</v>
      </c>
      <c r="S22">
        <v>87.477209999999999</v>
      </c>
      <c r="T22">
        <v>88.384960000000007</v>
      </c>
      <c r="U22">
        <v>88.065809999999999</v>
      </c>
      <c r="V22">
        <v>86.106319999999997</v>
      </c>
      <c r="W22">
        <v>87.760930000000002</v>
      </c>
      <c r="X22">
        <v>88.302250000000001</v>
      </c>
      <c r="Y22">
        <v>90.128640000000004</v>
      </c>
      <c r="Z22">
        <v>87.207250000000002</v>
      </c>
      <c r="AA22">
        <v>90.223960000000005</v>
      </c>
      <c r="AB22">
        <v>87.078649999999996</v>
      </c>
      <c r="AC22">
        <v>88.206029999999998</v>
      </c>
      <c r="AD22">
        <v>88.550529999999995</v>
      </c>
      <c r="AE22">
        <v>89.876580000000004</v>
      </c>
      <c r="AF22">
        <v>88.629189999999994</v>
      </c>
      <c r="AG22">
        <v>88.996229999999997</v>
      </c>
      <c r="AH22">
        <v>87.752499999999998</v>
      </c>
      <c r="AI22">
        <v>83.198539999999994</v>
      </c>
      <c r="AJ22">
        <v>86.701049999999995</v>
      </c>
      <c r="AK22">
        <v>86.392910000000001</v>
      </c>
      <c r="AL22">
        <v>85.128709999999998</v>
      </c>
      <c r="AM22">
        <v>86.865089999999995</v>
      </c>
      <c r="AN22">
        <v>88.126649999999998</v>
      </c>
      <c r="AO22">
        <v>90.632429999999999</v>
      </c>
      <c r="AP22">
        <v>86.810019999999994</v>
      </c>
      <c r="AQ22">
        <v>87.731059999999999</v>
      </c>
      <c r="AR22">
        <v>87.074529999999996</v>
      </c>
      <c r="AS22">
        <v>83.947580000000002</v>
      </c>
      <c r="AT22">
        <v>88.224530000000001</v>
      </c>
      <c r="AU22">
        <v>87.557500000000005</v>
      </c>
      <c r="AV22">
        <v>86.375460000000004</v>
      </c>
      <c r="AW22">
        <v>86.529910000000001</v>
      </c>
      <c r="AX22">
        <v>88.096729999999994</v>
      </c>
      <c r="AY22">
        <v>87.485159999999993</v>
      </c>
      <c r="AZ22">
        <v>86.905709999999999</v>
      </c>
      <c r="BA22">
        <v>87.367019999999997</v>
      </c>
      <c r="BB22">
        <v>86.795829999999995</v>
      </c>
      <c r="BC22">
        <v>88.52364</v>
      </c>
      <c r="BD22">
        <v>86.225470000000001</v>
      </c>
    </row>
    <row r="23" spans="1:56">
      <c r="A23">
        <v>2020000000</v>
      </c>
      <c r="B23" t="s">
        <v>6</v>
      </c>
      <c r="C23">
        <v>2</v>
      </c>
      <c r="D23" t="s">
        <v>73</v>
      </c>
      <c r="E23">
        <v>0</v>
      </c>
      <c r="F23" t="s">
        <v>74</v>
      </c>
      <c r="G23">
        <v>10</v>
      </c>
      <c r="H23" t="s">
        <v>84</v>
      </c>
      <c r="J23">
        <v>87.196600000000004</v>
      </c>
      <c r="K23">
        <v>87.538330000000002</v>
      </c>
      <c r="L23">
        <v>89.194289999999995</v>
      </c>
      <c r="M23">
        <v>87.877780000000001</v>
      </c>
      <c r="N23">
        <v>90.358130000000003</v>
      </c>
      <c r="O23">
        <v>91.500739999999993</v>
      </c>
      <c r="P23">
        <v>88.174409999999995</v>
      </c>
      <c r="Q23">
        <v>86.460080000000005</v>
      </c>
      <c r="R23">
        <v>87.418970000000002</v>
      </c>
      <c r="S23">
        <v>88.691890000000001</v>
      </c>
      <c r="T23">
        <v>89.212260000000001</v>
      </c>
      <c r="U23">
        <v>89.356219999999993</v>
      </c>
      <c r="V23">
        <v>89.38785</v>
      </c>
      <c r="W23">
        <v>89.708539999999999</v>
      </c>
      <c r="X23">
        <v>89.024559999999994</v>
      </c>
      <c r="Y23">
        <v>90.7256</v>
      </c>
      <c r="Z23">
        <v>88.958290000000005</v>
      </c>
      <c r="AA23">
        <v>91.838130000000007</v>
      </c>
      <c r="AB23">
        <v>88.180239999999998</v>
      </c>
      <c r="AC23">
        <v>89.826689999999999</v>
      </c>
      <c r="AD23">
        <v>89.568389999999994</v>
      </c>
      <c r="AE23">
        <v>90.963589999999996</v>
      </c>
      <c r="AF23">
        <v>89.608599999999996</v>
      </c>
      <c r="AG23">
        <v>89.63964</v>
      </c>
      <c r="AH23">
        <v>89.201790000000003</v>
      </c>
      <c r="AI23">
        <v>85.984200000000001</v>
      </c>
      <c r="AJ23">
        <v>87.936980000000005</v>
      </c>
      <c r="AK23">
        <v>87.912469999999999</v>
      </c>
      <c r="AL23">
        <v>86.29213</v>
      </c>
      <c r="AM23">
        <v>87.829679999999996</v>
      </c>
      <c r="AN23">
        <v>89.863010000000003</v>
      </c>
      <c r="AO23">
        <v>91.609979999999993</v>
      </c>
      <c r="AP23">
        <v>88.228939999999994</v>
      </c>
      <c r="AQ23">
        <v>88.040450000000007</v>
      </c>
      <c r="AR23">
        <v>86.818899999999999</v>
      </c>
      <c r="AS23">
        <v>84.870080000000002</v>
      </c>
      <c r="AT23">
        <v>89.670190000000005</v>
      </c>
      <c r="AU23">
        <v>87.923730000000006</v>
      </c>
      <c r="AV23">
        <v>88.025549999999996</v>
      </c>
      <c r="AW23">
        <v>88.06859</v>
      </c>
      <c r="AX23">
        <v>89.646129999999999</v>
      </c>
      <c r="AY23">
        <v>88.177679999999995</v>
      </c>
      <c r="AZ23">
        <v>89.473680000000002</v>
      </c>
      <c r="BA23">
        <v>89.479280000000003</v>
      </c>
      <c r="BB23">
        <v>86.924440000000004</v>
      </c>
      <c r="BC23">
        <v>88.995310000000003</v>
      </c>
      <c r="BD23">
        <v>87.863410000000002</v>
      </c>
    </row>
    <row r="24" spans="1:56">
      <c r="A24">
        <v>2020000000</v>
      </c>
      <c r="B24" t="s">
        <v>6</v>
      </c>
      <c r="C24">
        <v>2</v>
      </c>
      <c r="D24" t="s">
        <v>73</v>
      </c>
      <c r="E24">
        <v>0</v>
      </c>
      <c r="F24" t="s">
        <v>74</v>
      </c>
      <c r="G24">
        <v>11</v>
      </c>
      <c r="H24" t="s">
        <v>85</v>
      </c>
      <c r="J24">
        <v>87.47963</v>
      </c>
      <c r="K24">
        <v>88.474739999999997</v>
      </c>
      <c r="L24">
        <v>89.252449999999996</v>
      </c>
      <c r="M24">
        <v>88.357950000000002</v>
      </c>
      <c r="N24">
        <v>90.635210000000001</v>
      </c>
      <c r="O24">
        <v>92.307689999999994</v>
      </c>
      <c r="P24">
        <v>88.055869999999999</v>
      </c>
      <c r="Q24">
        <v>87.668949999999995</v>
      </c>
      <c r="R24">
        <v>88.152079999999998</v>
      </c>
      <c r="S24">
        <v>88.247389999999996</v>
      </c>
      <c r="T24">
        <v>89.541719999999998</v>
      </c>
      <c r="U24">
        <v>89.312420000000003</v>
      </c>
      <c r="V24">
        <v>91.263030000000001</v>
      </c>
      <c r="W24">
        <v>90.238879999999995</v>
      </c>
      <c r="X24">
        <v>91.162790000000001</v>
      </c>
      <c r="Y24">
        <v>91.760120000000001</v>
      </c>
      <c r="Z24">
        <v>89.528679999999994</v>
      </c>
      <c r="AA24">
        <v>91.717169999999996</v>
      </c>
      <c r="AB24">
        <v>89.301689999999994</v>
      </c>
      <c r="AC24">
        <v>89.293040000000005</v>
      </c>
      <c r="AD24">
        <v>89.275930000000002</v>
      </c>
      <c r="AE24">
        <v>89.643090000000001</v>
      </c>
      <c r="AF24">
        <v>89.576599999999999</v>
      </c>
      <c r="AG24">
        <v>88.957800000000006</v>
      </c>
      <c r="AH24">
        <v>88.581639999999993</v>
      </c>
      <c r="AI24">
        <v>87.879729999999995</v>
      </c>
      <c r="AJ24">
        <v>88.620419999999996</v>
      </c>
      <c r="AK24">
        <v>88.233840000000001</v>
      </c>
      <c r="AL24">
        <v>88.095709999999997</v>
      </c>
      <c r="AM24">
        <v>86.435429999999997</v>
      </c>
      <c r="AN24">
        <v>91.331919999999997</v>
      </c>
      <c r="AO24">
        <v>92.36842</v>
      </c>
      <c r="AP24">
        <v>88.431190000000001</v>
      </c>
      <c r="AQ24">
        <v>87.930880000000002</v>
      </c>
      <c r="AR24">
        <v>87.14255</v>
      </c>
      <c r="AS24">
        <v>87.836699999999993</v>
      </c>
      <c r="AT24">
        <v>89.673429999999996</v>
      </c>
      <c r="AU24">
        <v>87.645319999999998</v>
      </c>
      <c r="AV24">
        <v>88.301119999999997</v>
      </c>
      <c r="AW24">
        <v>88.355450000000005</v>
      </c>
      <c r="AX24">
        <v>89.066059999999993</v>
      </c>
      <c r="AY24">
        <v>88.58032</v>
      </c>
      <c r="AZ24">
        <v>89.313580000000002</v>
      </c>
      <c r="BA24">
        <v>87.849239999999995</v>
      </c>
      <c r="BB24">
        <v>88.860900000000001</v>
      </c>
      <c r="BC24">
        <v>89.371719999999996</v>
      </c>
      <c r="BD24">
        <v>87.530839999999998</v>
      </c>
    </row>
    <row r="25" spans="1:56">
      <c r="A25">
        <v>2020000000</v>
      </c>
      <c r="B25" t="s">
        <v>6</v>
      </c>
      <c r="C25">
        <v>2</v>
      </c>
      <c r="D25" t="s">
        <v>73</v>
      </c>
      <c r="E25">
        <v>0</v>
      </c>
      <c r="F25" t="s">
        <v>74</v>
      </c>
      <c r="G25">
        <v>12</v>
      </c>
      <c r="H25" t="s">
        <v>86</v>
      </c>
      <c r="J25">
        <v>87.199010000000001</v>
      </c>
      <c r="K25">
        <v>88.840890000000002</v>
      </c>
      <c r="L25">
        <v>88.803089999999997</v>
      </c>
      <c r="M25">
        <v>87.508319999999998</v>
      </c>
      <c r="N25">
        <v>90.366969999999995</v>
      </c>
      <c r="O25">
        <v>91.387150000000005</v>
      </c>
      <c r="P25">
        <v>86.93871</v>
      </c>
      <c r="Q25">
        <v>86.83596</v>
      </c>
      <c r="R25">
        <v>86.362309999999994</v>
      </c>
      <c r="S25">
        <v>87.752560000000003</v>
      </c>
      <c r="T25">
        <v>88.108500000000006</v>
      </c>
      <c r="U25">
        <v>88.422460000000001</v>
      </c>
      <c r="V25">
        <v>91.476339999999993</v>
      </c>
      <c r="W25">
        <v>89.314089999999993</v>
      </c>
      <c r="X25">
        <v>89.541420000000002</v>
      </c>
      <c r="Y25">
        <v>90.667349999999999</v>
      </c>
      <c r="Z25">
        <v>89.504689999999997</v>
      </c>
      <c r="AA25">
        <v>91.28886</v>
      </c>
      <c r="AB25">
        <v>87.744590000000002</v>
      </c>
      <c r="AC25">
        <v>87.363979999999998</v>
      </c>
      <c r="AD25">
        <v>87.113399999999999</v>
      </c>
      <c r="AE25">
        <v>87.803139999999999</v>
      </c>
      <c r="AF25">
        <v>87.8553</v>
      </c>
      <c r="AG25">
        <v>88.308199999999999</v>
      </c>
      <c r="AH25">
        <v>87.295460000000006</v>
      </c>
      <c r="AI25">
        <v>87.526269999999997</v>
      </c>
      <c r="AJ25">
        <v>88.000339999999994</v>
      </c>
      <c r="AK25">
        <v>87.633399999999995</v>
      </c>
      <c r="AL25">
        <v>86.375050000000002</v>
      </c>
      <c r="AM25">
        <v>86.225120000000004</v>
      </c>
      <c r="AN25">
        <v>90.048779999999994</v>
      </c>
      <c r="AO25">
        <v>90.172700000000006</v>
      </c>
      <c r="AP25">
        <v>87.760909999999996</v>
      </c>
      <c r="AQ25">
        <v>87.32114</v>
      </c>
      <c r="AR25">
        <v>85.748689999999996</v>
      </c>
      <c r="AS25">
        <v>87.505219999999994</v>
      </c>
      <c r="AT25">
        <v>88.590400000000002</v>
      </c>
      <c r="AU25">
        <v>86.859840000000005</v>
      </c>
      <c r="AV25">
        <v>89.86551</v>
      </c>
      <c r="AW25">
        <v>87.816680000000005</v>
      </c>
      <c r="AX25">
        <v>88.885310000000004</v>
      </c>
      <c r="AY25">
        <v>87.243690000000001</v>
      </c>
      <c r="AZ25">
        <v>89.068569999999994</v>
      </c>
      <c r="BA25">
        <v>88.165229999999994</v>
      </c>
      <c r="BB25">
        <v>89.316360000000003</v>
      </c>
      <c r="BC25">
        <v>87.438649999999996</v>
      </c>
      <c r="BD25">
        <v>88.298659999999998</v>
      </c>
    </row>
    <row r="26" spans="1:56">
      <c r="A26">
        <v>2020000000</v>
      </c>
      <c r="B26" t="s">
        <v>6</v>
      </c>
      <c r="C26">
        <v>2</v>
      </c>
      <c r="D26" t="s">
        <v>73</v>
      </c>
      <c r="E26">
        <v>0</v>
      </c>
      <c r="F26" t="s">
        <v>74</v>
      </c>
      <c r="G26">
        <v>13</v>
      </c>
      <c r="H26" t="s">
        <v>87</v>
      </c>
      <c r="J26">
        <v>84.961179999999999</v>
      </c>
      <c r="K26">
        <v>88.528139999999993</v>
      </c>
      <c r="L26">
        <v>88.492440000000002</v>
      </c>
      <c r="M26">
        <v>86.980519999999999</v>
      </c>
      <c r="N26">
        <v>89.50018</v>
      </c>
      <c r="O26">
        <v>89.917580000000001</v>
      </c>
      <c r="P26">
        <v>84.861310000000003</v>
      </c>
      <c r="Q26">
        <v>85.000979999999998</v>
      </c>
      <c r="R26">
        <v>85.15916</v>
      </c>
      <c r="S26">
        <v>86.637280000000004</v>
      </c>
      <c r="T26">
        <v>86.394559999999998</v>
      </c>
      <c r="U26">
        <v>86.80592</v>
      </c>
      <c r="V26">
        <v>91.101299999999995</v>
      </c>
      <c r="W26">
        <v>87.796040000000005</v>
      </c>
      <c r="X26">
        <v>89.215559999999996</v>
      </c>
      <c r="Y26">
        <v>89.720349999999996</v>
      </c>
      <c r="Z26">
        <v>87.657489999999996</v>
      </c>
      <c r="AA26">
        <v>89.232339999999994</v>
      </c>
      <c r="AB26">
        <v>86.343609999999998</v>
      </c>
      <c r="AC26">
        <v>85.730230000000006</v>
      </c>
      <c r="AD26">
        <v>84.470870000000005</v>
      </c>
      <c r="AE26">
        <v>86.148799999999994</v>
      </c>
      <c r="AF26">
        <v>85.123840000000001</v>
      </c>
      <c r="AG26">
        <v>85.534880000000001</v>
      </c>
      <c r="AH26">
        <v>86.220179999999999</v>
      </c>
      <c r="AI26">
        <v>87.431569999999994</v>
      </c>
      <c r="AJ26">
        <v>86.353219999999993</v>
      </c>
      <c r="AK26">
        <v>85.453639999999993</v>
      </c>
      <c r="AL26">
        <v>84.844040000000007</v>
      </c>
      <c r="AM26">
        <v>83.168319999999994</v>
      </c>
      <c r="AN26">
        <v>89.954800000000006</v>
      </c>
      <c r="AO26">
        <v>89.974829999999997</v>
      </c>
      <c r="AP26">
        <v>86.439520000000002</v>
      </c>
      <c r="AQ26">
        <v>85.218100000000007</v>
      </c>
      <c r="AR26">
        <v>84.445419999999999</v>
      </c>
      <c r="AS26">
        <v>86.672190000000001</v>
      </c>
      <c r="AT26">
        <v>86.607669999999999</v>
      </c>
      <c r="AU26">
        <v>85.218980000000002</v>
      </c>
      <c r="AV26">
        <v>88.043980000000005</v>
      </c>
      <c r="AW26">
        <v>85.911500000000004</v>
      </c>
      <c r="AX26">
        <v>86.732669999999999</v>
      </c>
      <c r="AY26">
        <v>86.216629999999995</v>
      </c>
      <c r="AZ26">
        <v>87.916849999999997</v>
      </c>
      <c r="BA26">
        <v>85.990210000000005</v>
      </c>
      <c r="BB26">
        <v>85.614909999999995</v>
      </c>
      <c r="BC26">
        <v>86.134969999999996</v>
      </c>
      <c r="BD26">
        <v>86.491389999999996</v>
      </c>
    </row>
    <row r="27" spans="1:56">
      <c r="A27">
        <v>2020000000</v>
      </c>
      <c r="B27" t="s">
        <v>6</v>
      </c>
      <c r="C27">
        <v>2</v>
      </c>
      <c r="D27" t="s">
        <v>73</v>
      </c>
      <c r="E27">
        <v>0</v>
      </c>
      <c r="F27" t="s">
        <v>74</v>
      </c>
      <c r="G27">
        <v>14</v>
      </c>
      <c r="H27" t="s">
        <v>88</v>
      </c>
      <c r="J27">
        <v>82.741640000000004</v>
      </c>
      <c r="K27">
        <v>86.717659999999995</v>
      </c>
      <c r="L27">
        <v>86.726860000000002</v>
      </c>
      <c r="M27">
        <v>85.114220000000003</v>
      </c>
      <c r="N27">
        <v>87.640450000000001</v>
      </c>
      <c r="O27">
        <v>89.352710000000002</v>
      </c>
      <c r="P27">
        <v>84.14143</v>
      </c>
      <c r="Q27">
        <v>83.353809999999996</v>
      </c>
      <c r="R27">
        <v>83.806460000000001</v>
      </c>
      <c r="S27">
        <v>84.322779999999995</v>
      </c>
      <c r="T27">
        <v>84.139150000000001</v>
      </c>
      <c r="U27">
        <v>84.405389999999997</v>
      </c>
      <c r="V27">
        <v>89.472110000000001</v>
      </c>
      <c r="W27">
        <v>85.187880000000007</v>
      </c>
      <c r="X27">
        <v>87.311880000000002</v>
      </c>
      <c r="Y27">
        <v>88.161749999999998</v>
      </c>
      <c r="Z27">
        <v>87.584800000000001</v>
      </c>
      <c r="AA27">
        <v>87.790310000000005</v>
      </c>
      <c r="AB27">
        <v>84.620620000000002</v>
      </c>
      <c r="AC27">
        <v>83.701920000000001</v>
      </c>
      <c r="AD27">
        <v>82.41301</v>
      </c>
      <c r="AE27">
        <v>84.301379999999995</v>
      </c>
      <c r="AF27">
        <v>82.31617</v>
      </c>
      <c r="AG27">
        <v>83.104330000000004</v>
      </c>
      <c r="AH27">
        <v>82.708560000000006</v>
      </c>
      <c r="AI27">
        <v>85.067719999999994</v>
      </c>
      <c r="AJ27">
        <v>84.583399999999997</v>
      </c>
      <c r="AK27">
        <v>83.856499999999997</v>
      </c>
      <c r="AL27">
        <v>83.713489999999993</v>
      </c>
      <c r="AM27">
        <v>81.281090000000006</v>
      </c>
      <c r="AN27">
        <v>89.196110000000004</v>
      </c>
      <c r="AO27">
        <v>88.276430000000005</v>
      </c>
      <c r="AP27">
        <v>84.184719999999999</v>
      </c>
      <c r="AQ27">
        <v>83.023989999999998</v>
      </c>
      <c r="AR27">
        <v>81.416120000000006</v>
      </c>
      <c r="AS27">
        <v>86.814089999999993</v>
      </c>
      <c r="AT27">
        <v>84.467410000000001</v>
      </c>
      <c r="AU27">
        <v>83.018039999999999</v>
      </c>
      <c r="AV27">
        <v>87.292280000000005</v>
      </c>
      <c r="AW27">
        <v>84.417720000000003</v>
      </c>
      <c r="AX27">
        <v>85.946460000000002</v>
      </c>
      <c r="AY27">
        <v>84.001679999999993</v>
      </c>
      <c r="AZ27">
        <v>86.587680000000006</v>
      </c>
      <c r="BA27">
        <v>84.257379999999998</v>
      </c>
      <c r="BB27">
        <v>85.722089999999994</v>
      </c>
      <c r="BC27">
        <v>84.199169999999995</v>
      </c>
      <c r="BD27">
        <v>85.557299999999998</v>
      </c>
    </row>
    <row r="28" spans="1:56">
      <c r="A28">
        <v>2020000000</v>
      </c>
      <c r="B28" t="s">
        <v>6</v>
      </c>
      <c r="C28">
        <v>2</v>
      </c>
      <c r="D28" t="s">
        <v>73</v>
      </c>
      <c r="E28">
        <v>0</v>
      </c>
      <c r="F28" t="s">
        <v>74</v>
      </c>
      <c r="G28">
        <v>15</v>
      </c>
      <c r="H28" t="s">
        <v>89</v>
      </c>
      <c r="J28">
        <v>81.293729999999996</v>
      </c>
      <c r="K28">
        <v>86.582620000000006</v>
      </c>
      <c r="L28">
        <v>85.476240000000004</v>
      </c>
      <c r="M28">
        <v>83.187820000000002</v>
      </c>
      <c r="N28">
        <v>87.320650000000001</v>
      </c>
      <c r="O28">
        <v>88.609889999999993</v>
      </c>
      <c r="P28">
        <v>84.50367</v>
      </c>
      <c r="Q28">
        <v>81.532340000000005</v>
      </c>
      <c r="R28">
        <v>81.124880000000005</v>
      </c>
      <c r="S28">
        <v>82.918869999999998</v>
      </c>
      <c r="T28">
        <v>81.725939999999994</v>
      </c>
      <c r="U28">
        <v>82.293000000000006</v>
      </c>
      <c r="V28">
        <v>87.928640000000001</v>
      </c>
      <c r="W28">
        <v>83.114069999999998</v>
      </c>
      <c r="X28">
        <v>86.785579999999996</v>
      </c>
      <c r="Y28">
        <v>86.649079999999998</v>
      </c>
      <c r="Z28">
        <v>86.269369999999995</v>
      </c>
      <c r="AA28">
        <v>87.12773</v>
      </c>
      <c r="AB28">
        <v>82.311319999999995</v>
      </c>
      <c r="AC28">
        <v>81.557270000000003</v>
      </c>
      <c r="AD28">
        <v>79.773920000000004</v>
      </c>
      <c r="AE28">
        <v>82.117019999999997</v>
      </c>
      <c r="AF28">
        <v>79.452960000000004</v>
      </c>
      <c r="AG28">
        <v>80.373410000000007</v>
      </c>
      <c r="AH28">
        <v>80.261510000000001</v>
      </c>
      <c r="AI28">
        <v>83.116169999999997</v>
      </c>
      <c r="AJ28">
        <v>81.967590000000001</v>
      </c>
      <c r="AK28">
        <v>80.794160000000005</v>
      </c>
      <c r="AL28">
        <v>80.979830000000007</v>
      </c>
      <c r="AM28">
        <v>79.712320000000005</v>
      </c>
      <c r="AN28">
        <v>87.596149999999994</v>
      </c>
      <c r="AO28">
        <v>87.551019999999994</v>
      </c>
      <c r="AP28">
        <v>81.982339999999994</v>
      </c>
      <c r="AQ28">
        <v>81.244429999999994</v>
      </c>
      <c r="AR28">
        <v>79.894300000000001</v>
      </c>
      <c r="AS28">
        <v>84.708740000000006</v>
      </c>
      <c r="AT28">
        <v>84.342730000000003</v>
      </c>
      <c r="AU28">
        <v>81.162239999999997</v>
      </c>
      <c r="AV28">
        <v>86.19247</v>
      </c>
      <c r="AW28">
        <v>82.431240000000003</v>
      </c>
      <c r="AX28">
        <v>85.618530000000007</v>
      </c>
      <c r="AY28">
        <v>83.525540000000007</v>
      </c>
      <c r="AZ28">
        <v>85.256789999999995</v>
      </c>
      <c r="BA28">
        <v>83.401300000000006</v>
      </c>
      <c r="BB28">
        <v>84.783199999999994</v>
      </c>
      <c r="BC28">
        <v>82.640259999999998</v>
      </c>
      <c r="BD28">
        <v>86.009619999999998</v>
      </c>
    </row>
    <row r="29" spans="1:56">
      <c r="A29">
        <v>2020000000</v>
      </c>
      <c r="B29" t="s">
        <v>6</v>
      </c>
      <c r="C29">
        <v>2</v>
      </c>
      <c r="D29" t="s">
        <v>73</v>
      </c>
      <c r="E29">
        <v>0</v>
      </c>
      <c r="F29" t="s">
        <v>74</v>
      </c>
      <c r="G29">
        <v>16</v>
      </c>
      <c r="H29" t="s">
        <v>90</v>
      </c>
      <c r="J29">
        <v>79.257819999999995</v>
      </c>
      <c r="K29">
        <v>85.571560000000005</v>
      </c>
      <c r="L29">
        <v>84.80959</v>
      </c>
      <c r="M29">
        <v>81.541989999999998</v>
      </c>
      <c r="N29">
        <v>86.85284</v>
      </c>
      <c r="O29">
        <v>87.778049999999993</v>
      </c>
      <c r="P29">
        <v>82.088669999999993</v>
      </c>
      <c r="Q29">
        <v>79.572559999999996</v>
      </c>
      <c r="R29">
        <v>80.305400000000006</v>
      </c>
      <c r="S29">
        <v>82.189189999999996</v>
      </c>
      <c r="T29">
        <v>79.332669999999993</v>
      </c>
      <c r="U29">
        <v>79.538319999999999</v>
      </c>
      <c r="V29">
        <v>85.865449999999996</v>
      </c>
      <c r="W29">
        <v>80.620239999999995</v>
      </c>
      <c r="X29">
        <v>85.862639999999999</v>
      </c>
      <c r="Y29">
        <v>85.917959999999994</v>
      </c>
      <c r="Z29">
        <v>83.847160000000002</v>
      </c>
      <c r="AA29">
        <v>86.756420000000006</v>
      </c>
      <c r="AB29">
        <v>82.021730000000005</v>
      </c>
      <c r="AC29">
        <v>79.846620000000001</v>
      </c>
      <c r="AD29">
        <v>79.15652</v>
      </c>
      <c r="AE29">
        <v>79.814629999999994</v>
      </c>
      <c r="AF29">
        <v>77.187939999999998</v>
      </c>
      <c r="AG29">
        <v>78.748080000000002</v>
      </c>
      <c r="AH29">
        <v>79.102189999999993</v>
      </c>
      <c r="AI29">
        <v>82.163589999999999</v>
      </c>
      <c r="AJ29">
        <v>79.861890000000002</v>
      </c>
      <c r="AK29">
        <v>78.5929</v>
      </c>
      <c r="AL29">
        <v>78.175830000000005</v>
      </c>
      <c r="AM29">
        <v>77.722340000000003</v>
      </c>
      <c r="AN29">
        <v>86.553460000000001</v>
      </c>
      <c r="AO29">
        <v>87.297190000000001</v>
      </c>
      <c r="AP29">
        <v>81.04777</v>
      </c>
      <c r="AQ29">
        <v>79.674940000000007</v>
      </c>
      <c r="AR29">
        <v>76.825199999999995</v>
      </c>
      <c r="AS29">
        <v>82.842219999999998</v>
      </c>
      <c r="AT29">
        <v>82.124970000000005</v>
      </c>
      <c r="AU29">
        <v>79.286010000000005</v>
      </c>
      <c r="AV29">
        <v>86.174909999999997</v>
      </c>
      <c r="AW29">
        <v>80.976669999999999</v>
      </c>
      <c r="AX29">
        <v>83.591139999999996</v>
      </c>
      <c r="AY29">
        <v>82.249560000000002</v>
      </c>
      <c r="AZ29">
        <v>84.864549999999994</v>
      </c>
      <c r="BA29">
        <v>81.096279999999993</v>
      </c>
      <c r="BB29">
        <v>84.348249999999993</v>
      </c>
      <c r="BC29">
        <v>81.70675</v>
      </c>
      <c r="BD29">
        <v>84.062449999999998</v>
      </c>
    </row>
    <row r="30" spans="1:56">
      <c r="A30">
        <v>2020000000</v>
      </c>
      <c r="B30" t="s">
        <v>6</v>
      </c>
      <c r="C30">
        <v>2</v>
      </c>
      <c r="D30" t="s">
        <v>73</v>
      </c>
      <c r="E30">
        <v>0</v>
      </c>
      <c r="F30" t="s">
        <v>74</v>
      </c>
      <c r="G30">
        <v>17</v>
      </c>
      <c r="H30" t="s">
        <v>91</v>
      </c>
      <c r="J30">
        <v>78.429820000000007</v>
      </c>
      <c r="K30">
        <v>83.787719999999993</v>
      </c>
      <c r="L30">
        <v>83.685100000000006</v>
      </c>
      <c r="M30">
        <v>80.465119999999999</v>
      </c>
      <c r="N30">
        <v>85.993979999999993</v>
      </c>
      <c r="O30">
        <v>86.961609999999993</v>
      </c>
      <c r="P30">
        <v>80.951719999999995</v>
      </c>
      <c r="Q30">
        <v>78.486159999999998</v>
      </c>
      <c r="R30">
        <v>78.157499999999999</v>
      </c>
      <c r="S30">
        <v>81.199389999999994</v>
      </c>
      <c r="T30">
        <v>77.212029999999999</v>
      </c>
      <c r="U30">
        <v>78.39743</v>
      </c>
      <c r="V30">
        <v>84.380489999999995</v>
      </c>
      <c r="W30">
        <v>78.695899999999995</v>
      </c>
      <c r="X30">
        <v>85.469989999999996</v>
      </c>
      <c r="Y30">
        <v>85.227829999999997</v>
      </c>
      <c r="Z30">
        <v>84.417770000000004</v>
      </c>
      <c r="AA30">
        <v>85.718490000000003</v>
      </c>
      <c r="AB30">
        <v>81.056700000000006</v>
      </c>
      <c r="AC30">
        <v>77.6267</v>
      </c>
      <c r="AD30">
        <v>77.030420000000007</v>
      </c>
      <c r="AE30">
        <v>79.090609999999998</v>
      </c>
      <c r="AF30">
        <v>75.384569999999997</v>
      </c>
      <c r="AG30">
        <v>78.16234</v>
      </c>
      <c r="AH30">
        <v>77.254329999999996</v>
      </c>
      <c r="AI30">
        <v>79.785709999999995</v>
      </c>
      <c r="AJ30">
        <v>78.600229999999996</v>
      </c>
      <c r="AK30">
        <v>76.950779999999995</v>
      </c>
      <c r="AL30">
        <v>75.822460000000007</v>
      </c>
      <c r="AM30">
        <v>77.315070000000006</v>
      </c>
      <c r="AN30">
        <v>86.206900000000005</v>
      </c>
      <c r="AO30">
        <v>87.551400000000001</v>
      </c>
      <c r="AP30">
        <v>79.702420000000004</v>
      </c>
      <c r="AQ30">
        <v>78.312349999999995</v>
      </c>
      <c r="AR30">
        <v>76.567859999999996</v>
      </c>
      <c r="AS30">
        <v>81.700490000000002</v>
      </c>
      <c r="AT30">
        <v>80.330489999999998</v>
      </c>
      <c r="AU30">
        <v>78.367590000000007</v>
      </c>
      <c r="AV30">
        <v>85.910060000000001</v>
      </c>
      <c r="AW30">
        <v>79.545760000000001</v>
      </c>
      <c r="AX30">
        <v>82.812070000000006</v>
      </c>
      <c r="AY30">
        <v>80.798509999999993</v>
      </c>
      <c r="AZ30">
        <v>83.295100000000005</v>
      </c>
      <c r="BA30">
        <v>80.717290000000006</v>
      </c>
      <c r="BB30">
        <v>85.250240000000005</v>
      </c>
      <c r="BC30">
        <v>81.626549999999995</v>
      </c>
      <c r="BD30">
        <v>83.86139</v>
      </c>
    </row>
    <row r="31" spans="1:56">
      <c r="A31">
        <v>2020000000</v>
      </c>
      <c r="B31" t="s">
        <v>6</v>
      </c>
      <c r="C31">
        <v>2</v>
      </c>
      <c r="D31" t="s">
        <v>73</v>
      </c>
      <c r="E31">
        <v>0</v>
      </c>
      <c r="F31" t="s">
        <v>74</v>
      </c>
      <c r="G31">
        <v>18</v>
      </c>
      <c r="H31" t="s">
        <v>92</v>
      </c>
      <c r="J31">
        <v>77.060659999999999</v>
      </c>
      <c r="K31">
        <v>84.196629999999999</v>
      </c>
      <c r="L31">
        <v>83.928210000000007</v>
      </c>
      <c r="M31">
        <v>79.585800000000006</v>
      </c>
      <c r="N31">
        <v>86.366200000000006</v>
      </c>
      <c r="O31">
        <v>86.319850000000002</v>
      </c>
      <c r="P31">
        <v>80.208740000000006</v>
      </c>
      <c r="Q31">
        <v>77.645709999999994</v>
      </c>
      <c r="R31">
        <v>78.970680000000002</v>
      </c>
      <c r="S31">
        <v>79.352379999999997</v>
      </c>
      <c r="T31">
        <v>76.165589999999995</v>
      </c>
      <c r="U31">
        <v>76.595119999999994</v>
      </c>
      <c r="V31">
        <v>82.867570000000001</v>
      </c>
      <c r="W31">
        <v>76.789299999999997</v>
      </c>
      <c r="X31">
        <v>85.29316</v>
      </c>
      <c r="Y31">
        <v>85.32884</v>
      </c>
      <c r="Z31">
        <v>83.333330000000004</v>
      </c>
      <c r="AA31">
        <v>85.154640000000001</v>
      </c>
      <c r="AB31">
        <v>79.861940000000004</v>
      </c>
      <c r="AC31">
        <v>77.626339999999999</v>
      </c>
      <c r="AD31">
        <v>76.061639999999997</v>
      </c>
      <c r="AE31">
        <v>77.107619999999997</v>
      </c>
      <c r="AF31">
        <v>74.235410000000002</v>
      </c>
      <c r="AG31">
        <v>77.284949999999995</v>
      </c>
      <c r="AH31">
        <v>76.131100000000004</v>
      </c>
      <c r="AI31">
        <v>78.202500000000001</v>
      </c>
      <c r="AJ31">
        <v>77.132300000000001</v>
      </c>
      <c r="AK31">
        <v>75.217740000000006</v>
      </c>
      <c r="AL31">
        <v>74.278800000000004</v>
      </c>
      <c r="AM31">
        <v>76.354169999999996</v>
      </c>
      <c r="AN31">
        <v>86.390039999999999</v>
      </c>
      <c r="AO31">
        <v>86.984579999999994</v>
      </c>
      <c r="AP31">
        <v>78.901480000000006</v>
      </c>
      <c r="AQ31">
        <v>76.126350000000002</v>
      </c>
      <c r="AR31">
        <v>76.346149999999994</v>
      </c>
      <c r="AS31">
        <v>81.645570000000006</v>
      </c>
      <c r="AT31">
        <v>80.659059999999997</v>
      </c>
      <c r="AU31">
        <v>78.67868</v>
      </c>
      <c r="AV31">
        <v>86.29</v>
      </c>
      <c r="AW31">
        <v>79.280779999999993</v>
      </c>
      <c r="AX31">
        <v>82.131150000000005</v>
      </c>
      <c r="AY31">
        <v>81.1708</v>
      </c>
      <c r="AZ31">
        <v>82.831130000000002</v>
      </c>
      <c r="BA31">
        <v>80.689210000000003</v>
      </c>
      <c r="BB31">
        <v>83.511240000000001</v>
      </c>
      <c r="BC31">
        <v>80.124750000000006</v>
      </c>
      <c r="BD31">
        <v>83.503879999999995</v>
      </c>
    </row>
    <row r="32" spans="1:56">
      <c r="A32">
        <v>2020000000</v>
      </c>
      <c r="B32" t="s">
        <v>6</v>
      </c>
      <c r="C32">
        <v>2</v>
      </c>
      <c r="D32" t="s">
        <v>73</v>
      </c>
      <c r="E32">
        <v>0</v>
      </c>
      <c r="F32" t="s">
        <v>74</v>
      </c>
      <c r="G32">
        <v>19</v>
      </c>
      <c r="H32" t="s">
        <v>93</v>
      </c>
      <c r="J32">
        <v>76.358609999999999</v>
      </c>
      <c r="K32">
        <v>84.536659999999998</v>
      </c>
      <c r="L32">
        <v>83.936700000000002</v>
      </c>
      <c r="M32">
        <v>79.529870000000003</v>
      </c>
      <c r="N32">
        <v>86.26943</v>
      </c>
      <c r="O32">
        <v>86.773849999999996</v>
      </c>
      <c r="P32">
        <v>79.984870000000001</v>
      </c>
      <c r="Q32">
        <v>77.629289999999997</v>
      </c>
      <c r="R32">
        <v>77.145099999999999</v>
      </c>
      <c r="S32">
        <v>79.401949999999999</v>
      </c>
      <c r="T32">
        <v>74.918469999999999</v>
      </c>
      <c r="U32">
        <v>75.124179999999996</v>
      </c>
      <c r="V32">
        <v>81.504260000000002</v>
      </c>
      <c r="W32">
        <v>75.895099999999999</v>
      </c>
      <c r="X32">
        <v>85.221469999999997</v>
      </c>
      <c r="Y32">
        <v>86.13006</v>
      </c>
      <c r="Z32">
        <v>83.326650000000001</v>
      </c>
      <c r="AA32">
        <v>84.672150000000002</v>
      </c>
      <c r="AB32">
        <v>80.650890000000004</v>
      </c>
      <c r="AC32">
        <v>77.680040000000005</v>
      </c>
      <c r="AD32">
        <v>75.073520000000002</v>
      </c>
      <c r="AE32">
        <v>77.329859999999996</v>
      </c>
      <c r="AF32">
        <v>73.647480000000002</v>
      </c>
      <c r="AG32">
        <v>76.914919999999995</v>
      </c>
      <c r="AH32">
        <v>74.611009999999993</v>
      </c>
      <c r="AI32">
        <v>77.596440000000001</v>
      </c>
      <c r="AJ32">
        <v>75.824179999999998</v>
      </c>
      <c r="AK32">
        <v>74.817970000000003</v>
      </c>
      <c r="AL32">
        <v>73.895799999999994</v>
      </c>
      <c r="AM32">
        <v>75.498859999999993</v>
      </c>
      <c r="AN32">
        <v>85.863659999999996</v>
      </c>
      <c r="AO32">
        <v>86.798339999999996</v>
      </c>
      <c r="AP32">
        <v>78.692179999999993</v>
      </c>
      <c r="AQ32">
        <v>76.909869999999998</v>
      </c>
      <c r="AR32">
        <v>75.892529999999994</v>
      </c>
      <c r="AS32">
        <v>83.990870000000001</v>
      </c>
      <c r="AT32">
        <v>79.980630000000005</v>
      </c>
      <c r="AU32">
        <v>77.596699999999998</v>
      </c>
      <c r="AV32">
        <v>85.435029999999998</v>
      </c>
      <c r="AW32">
        <v>78.026830000000004</v>
      </c>
      <c r="AX32">
        <v>82.821770000000001</v>
      </c>
      <c r="AY32">
        <v>80.166250000000005</v>
      </c>
      <c r="AZ32">
        <v>83.376779999999997</v>
      </c>
      <c r="BA32">
        <v>80.426749999999998</v>
      </c>
      <c r="BB32">
        <v>83.601759999999999</v>
      </c>
      <c r="BC32">
        <v>80.295439999999999</v>
      </c>
      <c r="BD32">
        <v>82.969369999999998</v>
      </c>
    </row>
    <row r="33" spans="1:56">
      <c r="A33">
        <v>2020000000</v>
      </c>
      <c r="B33" t="s">
        <v>6</v>
      </c>
      <c r="C33">
        <v>2</v>
      </c>
      <c r="D33" t="s">
        <v>73</v>
      </c>
      <c r="E33">
        <v>0</v>
      </c>
      <c r="F33" t="s">
        <v>74</v>
      </c>
      <c r="G33">
        <v>20</v>
      </c>
      <c r="H33" t="s">
        <v>94</v>
      </c>
      <c r="J33">
        <v>76.445250000000001</v>
      </c>
      <c r="K33">
        <v>84.113479999999996</v>
      </c>
      <c r="L33">
        <v>82.982259999999997</v>
      </c>
      <c r="M33">
        <v>78.178399999999996</v>
      </c>
      <c r="N33">
        <v>87.143219999999999</v>
      </c>
      <c r="O33">
        <v>87.868849999999995</v>
      </c>
      <c r="P33">
        <v>79.652760000000001</v>
      </c>
      <c r="Q33">
        <v>77.488209999999995</v>
      </c>
      <c r="R33">
        <v>76.865250000000003</v>
      </c>
      <c r="S33">
        <v>78.225239999999999</v>
      </c>
      <c r="T33">
        <v>74.359129999999993</v>
      </c>
      <c r="U33">
        <v>74.770949999999999</v>
      </c>
      <c r="V33">
        <v>80.528649999999999</v>
      </c>
      <c r="W33">
        <v>74.523020000000002</v>
      </c>
      <c r="X33">
        <v>85.184089999999998</v>
      </c>
      <c r="Y33">
        <v>84.11739</v>
      </c>
      <c r="Z33">
        <v>84.172520000000006</v>
      </c>
      <c r="AA33">
        <v>85.669780000000003</v>
      </c>
      <c r="AB33">
        <v>80.983099999999993</v>
      </c>
      <c r="AC33">
        <v>77.677379999999999</v>
      </c>
      <c r="AD33">
        <v>75.990780000000001</v>
      </c>
      <c r="AE33">
        <v>76.453689999999995</v>
      </c>
      <c r="AF33">
        <v>73.215509999999995</v>
      </c>
      <c r="AG33">
        <v>77.041659999999993</v>
      </c>
      <c r="AH33">
        <v>75.31814</v>
      </c>
      <c r="AI33">
        <v>78.163439999999994</v>
      </c>
      <c r="AJ33">
        <v>75.335939999999994</v>
      </c>
      <c r="AK33">
        <v>74.235460000000003</v>
      </c>
      <c r="AL33">
        <v>73.742720000000006</v>
      </c>
      <c r="AM33">
        <v>77.388450000000006</v>
      </c>
      <c r="AN33">
        <v>84.10915</v>
      </c>
      <c r="AO33">
        <v>88.422479999999993</v>
      </c>
      <c r="AP33">
        <v>78.358729999999994</v>
      </c>
      <c r="AQ33">
        <v>76.698580000000007</v>
      </c>
      <c r="AR33">
        <v>75.132729999999995</v>
      </c>
      <c r="AS33">
        <v>81.386510000000001</v>
      </c>
      <c r="AT33">
        <v>80.721770000000006</v>
      </c>
      <c r="AU33">
        <v>77.837649999999996</v>
      </c>
      <c r="AV33">
        <v>85.859319999999997</v>
      </c>
      <c r="AW33">
        <v>77.039599999999993</v>
      </c>
      <c r="AX33">
        <v>83.434039999999996</v>
      </c>
      <c r="AY33">
        <v>80.482830000000007</v>
      </c>
      <c r="AZ33">
        <v>83.399109999999993</v>
      </c>
      <c r="BA33">
        <v>80.424210000000002</v>
      </c>
      <c r="BB33">
        <v>84.292439999999999</v>
      </c>
      <c r="BC33">
        <v>80.858949999999993</v>
      </c>
      <c r="BD33">
        <v>82.454610000000002</v>
      </c>
    </row>
    <row r="34" spans="1:56">
      <c r="A34">
        <v>2020000000</v>
      </c>
      <c r="B34" t="s">
        <v>6</v>
      </c>
      <c r="C34">
        <v>2</v>
      </c>
      <c r="D34" t="s">
        <v>73</v>
      </c>
      <c r="E34">
        <v>0</v>
      </c>
      <c r="F34" t="s">
        <v>74</v>
      </c>
      <c r="G34">
        <v>21</v>
      </c>
      <c r="H34" t="s">
        <v>95</v>
      </c>
      <c r="J34">
        <v>76.969930000000005</v>
      </c>
      <c r="K34">
        <v>83.60351</v>
      </c>
      <c r="L34">
        <v>84.444839999999999</v>
      </c>
      <c r="M34">
        <v>78.002700000000004</v>
      </c>
      <c r="N34">
        <v>86.914770000000004</v>
      </c>
      <c r="O34">
        <v>87.976950000000002</v>
      </c>
      <c r="P34">
        <v>80.687299999999993</v>
      </c>
      <c r="Q34">
        <v>77.450550000000007</v>
      </c>
      <c r="R34">
        <v>77.161069999999995</v>
      </c>
      <c r="S34">
        <v>79.745559999999998</v>
      </c>
      <c r="T34">
        <v>73.845489999999998</v>
      </c>
      <c r="U34">
        <v>74.408379999999994</v>
      </c>
      <c r="V34">
        <v>79.34366</v>
      </c>
      <c r="W34">
        <v>73.602829999999997</v>
      </c>
      <c r="X34">
        <v>85.293270000000007</v>
      </c>
      <c r="Y34">
        <v>85.209940000000003</v>
      </c>
      <c r="Z34">
        <v>84.027249999999995</v>
      </c>
      <c r="AA34">
        <v>86.468559999999997</v>
      </c>
      <c r="AB34">
        <v>81.051749999999998</v>
      </c>
      <c r="AC34">
        <v>79.327179999999998</v>
      </c>
      <c r="AD34">
        <v>76.658479999999997</v>
      </c>
      <c r="AE34">
        <v>77.610759999999999</v>
      </c>
      <c r="AF34">
        <v>73.705539999999999</v>
      </c>
      <c r="AG34">
        <v>77.45608</v>
      </c>
      <c r="AH34">
        <v>76.400800000000004</v>
      </c>
      <c r="AI34">
        <v>77.990930000000006</v>
      </c>
      <c r="AJ34">
        <v>75.027529999999999</v>
      </c>
      <c r="AK34">
        <v>73.81447</v>
      </c>
      <c r="AL34">
        <v>74.093090000000004</v>
      </c>
      <c r="AM34">
        <v>76.857699999999994</v>
      </c>
      <c r="AN34">
        <v>86.263530000000003</v>
      </c>
      <c r="AO34">
        <v>86.596959999999996</v>
      </c>
      <c r="AP34">
        <v>78.553169999999994</v>
      </c>
      <c r="AQ34">
        <v>76.432019999999994</v>
      </c>
      <c r="AR34">
        <v>76.897739999999999</v>
      </c>
      <c r="AS34">
        <v>83.047740000000005</v>
      </c>
      <c r="AT34">
        <v>80.096869999999996</v>
      </c>
      <c r="AU34">
        <v>77.808850000000007</v>
      </c>
      <c r="AV34">
        <v>84.799729999999997</v>
      </c>
      <c r="AW34">
        <v>76.863789999999995</v>
      </c>
      <c r="AX34">
        <v>82.816230000000004</v>
      </c>
      <c r="AY34">
        <v>81.394620000000003</v>
      </c>
      <c r="AZ34">
        <v>83.609369999999998</v>
      </c>
      <c r="BA34">
        <v>80.239410000000007</v>
      </c>
      <c r="BB34">
        <v>84.010050000000007</v>
      </c>
      <c r="BC34">
        <v>79.670599999999993</v>
      </c>
      <c r="BD34">
        <v>81.585470000000001</v>
      </c>
    </row>
    <row r="35" spans="1:56">
      <c r="A35">
        <v>2020000000</v>
      </c>
      <c r="B35" t="s">
        <v>6</v>
      </c>
      <c r="C35">
        <v>2</v>
      </c>
      <c r="D35" t="s">
        <v>73</v>
      </c>
      <c r="E35">
        <v>0</v>
      </c>
      <c r="F35" t="s">
        <v>74</v>
      </c>
      <c r="G35">
        <v>22</v>
      </c>
      <c r="H35" t="s">
        <v>96</v>
      </c>
      <c r="J35">
        <v>76.913480000000007</v>
      </c>
      <c r="K35">
        <v>83.606560000000002</v>
      </c>
      <c r="L35">
        <v>84.583259999999996</v>
      </c>
      <c r="M35">
        <v>78.802070000000001</v>
      </c>
      <c r="N35">
        <v>86.748350000000002</v>
      </c>
      <c r="O35">
        <v>87.532910000000001</v>
      </c>
      <c r="P35">
        <v>81.006230000000002</v>
      </c>
      <c r="Q35">
        <v>78.118799999999993</v>
      </c>
      <c r="R35">
        <v>77.795180000000002</v>
      </c>
      <c r="S35">
        <v>79.835700000000003</v>
      </c>
      <c r="T35">
        <v>74.212400000000002</v>
      </c>
      <c r="U35">
        <v>74.819490000000002</v>
      </c>
      <c r="V35">
        <v>78.857420000000005</v>
      </c>
      <c r="W35">
        <v>73.261089999999996</v>
      </c>
      <c r="X35">
        <v>85.368080000000006</v>
      </c>
      <c r="Y35">
        <v>84.89179</v>
      </c>
      <c r="Z35">
        <v>84.473060000000004</v>
      </c>
      <c r="AA35">
        <v>86.310900000000004</v>
      </c>
      <c r="AB35">
        <v>80.443600000000004</v>
      </c>
      <c r="AC35">
        <v>80.026849999999996</v>
      </c>
      <c r="AD35">
        <v>77.552509999999998</v>
      </c>
      <c r="AE35">
        <v>77.353939999999994</v>
      </c>
      <c r="AF35">
        <v>73.761070000000004</v>
      </c>
      <c r="AG35">
        <v>77.934600000000003</v>
      </c>
      <c r="AH35">
        <v>75.484909999999999</v>
      </c>
      <c r="AI35">
        <v>76.981300000000005</v>
      </c>
      <c r="AJ35">
        <v>74.786550000000005</v>
      </c>
      <c r="AK35">
        <v>74.029889999999995</v>
      </c>
      <c r="AL35">
        <v>74.157300000000006</v>
      </c>
      <c r="AM35">
        <v>77.767650000000003</v>
      </c>
      <c r="AN35">
        <v>86.566090000000003</v>
      </c>
      <c r="AO35">
        <v>86.62218</v>
      </c>
      <c r="AP35">
        <v>79.384879999999995</v>
      </c>
      <c r="AQ35">
        <v>76.880600000000001</v>
      </c>
      <c r="AR35">
        <v>77.594700000000003</v>
      </c>
      <c r="AS35">
        <v>83.010390000000001</v>
      </c>
      <c r="AT35">
        <v>81.103710000000007</v>
      </c>
      <c r="AU35">
        <v>78.278289999999998</v>
      </c>
      <c r="AV35">
        <v>85.85284</v>
      </c>
      <c r="AW35">
        <v>77.674310000000006</v>
      </c>
      <c r="AX35">
        <v>83.508930000000007</v>
      </c>
      <c r="AY35">
        <v>81.565349999999995</v>
      </c>
      <c r="AZ35">
        <v>82.930250000000001</v>
      </c>
      <c r="BA35">
        <v>81.364540000000005</v>
      </c>
      <c r="BB35">
        <v>84.256829999999994</v>
      </c>
      <c r="BC35">
        <v>80.186869999999999</v>
      </c>
      <c r="BD35">
        <v>83.152990000000003</v>
      </c>
    </row>
    <row r="36" spans="1:56">
      <c r="A36">
        <v>2020000000</v>
      </c>
      <c r="B36" t="s">
        <v>6</v>
      </c>
      <c r="C36">
        <v>2</v>
      </c>
      <c r="D36" t="s">
        <v>73</v>
      </c>
      <c r="E36">
        <v>0</v>
      </c>
      <c r="F36" t="s">
        <v>74</v>
      </c>
      <c r="G36">
        <v>23</v>
      </c>
      <c r="H36" t="s">
        <v>97</v>
      </c>
      <c r="J36">
        <v>77.596609999999998</v>
      </c>
      <c r="K36">
        <v>83.964399999999998</v>
      </c>
      <c r="L36">
        <v>84.90164</v>
      </c>
      <c r="M36">
        <v>78.779089999999997</v>
      </c>
      <c r="N36">
        <v>86.588030000000003</v>
      </c>
      <c r="O36">
        <v>87.59151</v>
      </c>
      <c r="P36">
        <v>80.965969999999999</v>
      </c>
      <c r="Q36">
        <v>78.161869999999993</v>
      </c>
      <c r="R36">
        <v>78.538910000000001</v>
      </c>
      <c r="S36">
        <v>80.997330000000005</v>
      </c>
      <c r="T36">
        <v>74.358350000000002</v>
      </c>
      <c r="U36">
        <v>74.480099999999993</v>
      </c>
      <c r="V36">
        <v>78.317850000000007</v>
      </c>
      <c r="W36">
        <v>73.618660000000006</v>
      </c>
      <c r="X36">
        <v>85.631709999999998</v>
      </c>
      <c r="Y36">
        <v>85.598380000000006</v>
      </c>
      <c r="Z36">
        <v>84.174959999999999</v>
      </c>
      <c r="AA36">
        <v>86.768450000000001</v>
      </c>
      <c r="AB36">
        <v>80.999200000000002</v>
      </c>
      <c r="AC36">
        <v>80.608890000000002</v>
      </c>
      <c r="AD36">
        <v>78.758030000000005</v>
      </c>
      <c r="AE36">
        <v>78.140410000000003</v>
      </c>
      <c r="AF36">
        <v>74.561000000000007</v>
      </c>
      <c r="AG36">
        <v>78.015900000000002</v>
      </c>
      <c r="AH36">
        <v>76.3172</v>
      </c>
      <c r="AI36">
        <v>77.8001</v>
      </c>
      <c r="AJ36">
        <v>75.185820000000007</v>
      </c>
      <c r="AK36">
        <v>74.744489999999999</v>
      </c>
      <c r="AL36">
        <v>72.385800000000003</v>
      </c>
      <c r="AM36">
        <v>77.890699999999995</v>
      </c>
      <c r="AN36">
        <v>85.182559999999995</v>
      </c>
      <c r="AO36">
        <v>87.933130000000006</v>
      </c>
      <c r="AP36">
        <v>79.562820000000002</v>
      </c>
      <c r="AQ36">
        <v>77.616280000000003</v>
      </c>
      <c r="AR36">
        <v>77.493449999999996</v>
      </c>
      <c r="AS36">
        <v>82.037760000000006</v>
      </c>
      <c r="AT36">
        <v>80.911559999999994</v>
      </c>
      <c r="AU36">
        <v>78.607810000000001</v>
      </c>
      <c r="AV36">
        <v>86.402000000000001</v>
      </c>
      <c r="AW36">
        <v>77.606120000000004</v>
      </c>
      <c r="AX36">
        <v>83.643289999999993</v>
      </c>
      <c r="AY36">
        <v>82.480230000000006</v>
      </c>
      <c r="AZ36">
        <v>83.813149999999993</v>
      </c>
      <c r="BA36">
        <v>79.863420000000005</v>
      </c>
      <c r="BB36">
        <v>84.932490000000001</v>
      </c>
      <c r="BC36">
        <v>80.940770000000001</v>
      </c>
      <c r="BD36">
        <v>81.999449999999996</v>
      </c>
    </row>
    <row r="37" spans="1:56">
      <c r="A37">
        <v>2020000000</v>
      </c>
      <c r="B37" t="s">
        <v>6</v>
      </c>
      <c r="C37">
        <v>2</v>
      </c>
      <c r="D37" t="s">
        <v>73</v>
      </c>
      <c r="E37">
        <v>0</v>
      </c>
      <c r="F37" t="s">
        <v>74</v>
      </c>
      <c r="G37">
        <v>24</v>
      </c>
      <c r="H37" t="s">
        <v>98</v>
      </c>
      <c r="J37">
        <v>77.855909999999994</v>
      </c>
      <c r="K37">
        <v>84.90119</v>
      </c>
      <c r="L37">
        <v>85.276470000000003</v>
      </c>
      <c r="M37">
        <v>79.263570000000001</v>
      </c>
      <c r="N37">
        <v>86.167699999999996</v>
      </c>
      <c r="O37">
        <v>87.913489999999996</v>
      </c>
      <c r="P37">
        <v>81.563130000000001</v>
      </c>
      <c r="Q37">
        <v>78.339820000000003</v>
      </c>
      <c r="R37">
        <v>78.086699999999993</v>
      </c>
      <c r="S37">
        <v>80.798000000000002</v>
      </c>
      <c r="T37">
        <v>74.326369999999997</v>
      </c>
      <c r="U37">
        <v>74.973159999999993</v>
      </c>
      <c r="V37">
        <v>77.816699999999997</v>
      </c>
      <c r="W37">
        <v>73.050179999999997</v>
      </c>
      <c r="X37">
        <v>86.196110000000004</v>
      </c>
      <c r="Y37">
        <v>86.200819999999993</v>
      </c>
      <c r="Z37">
        <v>84.90231</v>
      </c>
      <c r="AA37">
        <v>88.122410000000002</v>
      </c>
      <c r="AB37">
        <v>81.181100000000001</v>
      </c>
      <c r="AC37">
        <v>81.422479999999993</v>
      </c>
      <c r="AD37">
        <v>79.850669999999994</v>
      </c>
      <c r="AE37">
        <v>79.354529999999997</v>
      </c>
      <c r="AF37">
        <v>75.257210000000001</v>
      </c>
      <c r="AG37">
        <v>79.579859999999996</v>
      </c>
      <c r="AH37">
        <v>76.906229999999994</v>
      </c>
      <c r="AI37">
        <v>77.470249999999993</v>
      </c>
      <c r="AJ37">
        <v>75.142449999999997</v>
      </c>
      <c r="AK37">
        <v>74.902079999999998</v>
      </c>
      <c r="AL37">
        <v>74.262270000000001</v>
      </c>
      <c r="AM37">
        <v>79.084220000000002</v>
      </c>
      <c r="AN37">
        <v>86.606830000000002</v>
      </c>
      <c r="AO37">
        <v>88.738879999999995</v>
      </c>
      <c r="AP37">
        <v>79.142150000000001</v>
      </c>
      <c r="AQ37">
        <v>78.184749999999994</v>
      </c>
      <c r="AR37">
        <v>78.663120000000006</v>
      </c>
      <c r="AS37">
        <v>82.943330000000003</v>
      </c>
      <c r="AT37">
        <v>81.175210000000007</v>
      </c>
      <c r="AU37">
        <v>79.181989999999999</v>
      </c>
      <c r="AV37">
        <v>85.132509999999996</v>
      </c>
      <c r="AW37">
        <v>78.011840000000007</v>
      </c>
      <c r="AX37">
        <v>83.381990000000002</v>
      </c>
      <c r="AY37">
        <v>82.997659999999996</v>
      </c>
      <c r="AZ37">
        <v>83.927409999999995</v>
      </c>
      <c r="BA37">
        <v>81.218190000000007</v>
      </c>
      <c r="BB37">
        <v>84.347669999999994</v>
      </c>
      <c r="BC37">
        <v>82.467529999999996</v>
      </c>
      <c r="BD37">
        <v>82.815759999999997</v>
      </c>
    </row>
    <row r="38" spans="1:56">
      <c r="A38">
        <v>2020000000</v>
      </c>
      <c r="B38" t="s">
        <v>6</v>
      </c>
      <c r="C38">
        <v>2</v>
      </c>
      <c r="D38" t="s">
        <v>73</v>
      </c>
      <c r="E38">
        <v>0</v>
      </c>
      <c r="F38" t="s">
        <v>74</v>
      </c>
      <c r="G38">
        <v>25</v>
      </c>
      <c r="H38" t="s">
        <v>99</v>
      </c>
      <c r="J38">
        <v>78.442790000000002</v>
      </c>
      <c r="K38">
        <v>84.491320000000002</v>
      </c>
      <c r="L38">
        <v>83.814760000000007</v>
      </c>
      <c r="M38">
        <v>79.820899999999995</v>
      </c>
      <c r="N38">
        <v>87.201549999999997</v>
      </c>
      <c r="O38">
        <v>88.03922</v>
      </c>
      <c r="P38">
        <v>82.394369999999995</v>
      </c>
      <c r="Q38">
        <v>78.852289999999996</v>
      </c>
      <c r="R38">
        <v>78.69</v>
      </c>
      <c r="S38">
        <v>81.572900000000004</v>
      </c>
      <c r="T38">
        <v>75.093220000000002</v>
      </c>
      <c r="U38">
        <v>75.247240000000005</v>
      </c>
      <c r="V38">
        <v>77.820639999999997</v>
      </c>
      <c r="W38">
        <v>73.882540000000006</v>
      </c>
      <c r="X38">
        <v>86.787499999999994</v>
      </c>
      <c r="Y38">
        <v>87.083250000000007</v>
      </c>
      <c r="Z38">
        <v>86.090549999999993</v>
      </c>
      <c r="AA38">
        <v>87.241550000000004</v>
      </c>
      <c r="AB38">
        <v>83.083290000000005</v>
      </c>
      <c r="AC38">
        <v>82.396450000000002</v>
      </c>
      <c r="AD38">
        <v>81.490700000000004</v>
      </c>
      <c r="AE38">
        <v>79.9298</v>
      </c>
      <c r="AF38">
        <v>76.131550000000004</v>
      </c>
      <c r="AG38">
        <v>80.141360000000006</v>
      </c>
      <c r="AH38">
        <v>77.511150000000001</v>
      </c>
      <c r="AI38">
        <v>78.060490000000001</v>
      </c>
      <c r="AJ38">
        <v>75.375240000000005</v>
      </c>
      <c r="AK38">
        <v>75.351619999999997</v>
      </c>
      <c r="AL38">
        <v>73.512450000000001</v>
      </c>
      <c r="AM38">
        <v>79.926299999999998</v>
      </c>
      <c r="AN38">
        <v>87.478380000000001</v>
      </c>
      <c r="AO38">
        <v>89.102189999999993</v>
      </c>
      <c r="AP38">
        <v>80.844980000000007</v>
      </c>
      <c r="AQ38">
        <v>78.918769999999995</v>
      </c>
      <c r="AR38">
        <v>79.696370000000002</v>
      </c>
      <c r="AS38">
        <v>83.204419999999999</v>
      </c>
      <c r="AT38">
        <v>81.962860000000006</v>
      </c>
      <c r="AU38">
        <v>79.508449999999996</v>
      </c>
      <c r="AV38">
        <v>86.713930000000005</v>
      </c>
      <c r="AW38">
        <v>78.739419999999996</v>
      </c>
      <c r="AX38">
        <v>84.771339999999995</v>
      </c>
      <c r="AY38">
        <v>82.202770000000001</v>
      </c>
      <c r="AZ38">
        <v>84.678799999999995</v>
      </c>
      <c r="BA38">
        <v>82.116039999999998</v>
      </c>
      <c r="BB38">
        <v>85.462000000000003</v>
      </c>
      <c r="BC38">
        <v>83.072680000000005</v>
      </c>
      <c r="BD38">
        <v>82.735740000000007</v>
      </c>
    </row>
    <row r="39" spans="1:56">
      <c r="A39">
        <v>2020000000</v>
      </c>
      <c r="B39" t="s">
        <v>6</v>
      </c>
      <c r="C39">
        <v>2</v>
      </c>
      <c r="D39" t="s">
        <v>73</v>
      </c>
      <c r="E39">
        <v>0</v>
      </c>
      <c r="F39" t="s">
        <v>74</v>
      </c>
      <c r="G39">
        <v>26</v>
      </c>
      <c r="H39" t="s">
        <v>100</v>
      </c>
      <c r="J39">
        <v>78.804839999999999</v>
      </c>
      <c r="K39">
        <v>84.63691</v>
      </c>
      <c r="L39">
        <v>85.386030000000005</v>
      </c>
      <c r="M39">
        <v>80.600030000000004</v>
      </c>
      <c r="N39">
        <v>86.569839999999999</v>
      </c>
      <c r="O39">
        <v>88.814239999999998</v>
      </c>
      <c r="P39">
        <v>82.57432</v>
      </c>
      <c r="Q39">
        <v>79.215509999999995</v>
      </c>
      <c r="R39">
        <v>80.227289999999996</v>
      </c>
      <c r="S39">
        <v>82.307770000000005</v>
      </c>
      <c r="T39">
        <v>75.508439999999993</v>
      </c>
      <c r="U39">
        <v>76.002790000000005</v>
      </c>
      <c r="V39">
        <v>77.674499999999995</v>
      </c>
      <c r="W39">
        <v>74.511080000000007</v>
      </c>
      <c r="X39">
        <v>87.215280000000007</v>
      </c>
      <c r="Y39">
        <v>86.666669999999996</v>
      </c>
      <c r="Z39">
        <v>86.479759999999999</v>
      </c>
      <c r="AA39">
        <v>89.09975</v>
      </c>
      <c r="AB39">
        <v>84.06326</v>
      </c>
      <c r="AC39">
        <v>84.223920000000007</v>
      </c>
      <c r="AD39">
        <v>82.138779999999997</v>
      </c>
      <c r="AE39">
        <v>81.056870000000004</v>
      </c>
      <c r="AF39">
        <v>76.981999999999999</v>
      </c>
      <c r="AG39">
        <v>81.134919999999994</v>
      </c>
      <c r="AH39">
        <v>78.526319999999998</v>
      </c>
      <c r="AI39">
        <v>78.290270000000007</v>
      </c>
      <c r="AJ39">
        <v>76.307149999999993</v>
      </c>
      <c r="AK39">
        <v>76.086569999999995</v>
      </c>
      <c r="AL39">
        <v>75.571179999999998</v>
      </c>
      <c r="AM39">
        <v>78.548490000000001</v>
      </c>
      <c r="AN39">
        <v>88.078410000000005</v>
      </c>
      <c r="AO39">
        <v>89.191490000000002</v>
      </c>
      <c r="AP39">
        <v>80.729910000000004</v>
      </c>
      <c r="AQ39">
        <v>78.994200000000006</v>
      </c>
      <c r="AR39">
        <v>80.293350000000004</v>
      </c>
      <c r="AS39">
        <v>83.082710000000006</v>
      </c>
      <c r="AT39">
        <v>82.205370000000002</v>
      </c>
      <c r="AU39">
        <v>81.608689999999996</v>
      </c>
      <c r="AV39">
        <v>87.677729999999997</v>
      </c>
      <c r="AW39">
        <v>79.403329999999997</v>
      </c>
      <c r="AX39">
        <v>84.423280000000005</v>
      </c>
      <c r="AY39">
        <v>82.125810000000001</v>
      </c>
      <c r="AZ39">
        <v>85.024959999999993</v>
      </c>
      <c r="BA39">
        <v>82.098870000000005</v>
      </c>
      <c r="BB39">
        <v>86.147480000000002</v>
      </c>
      <c r="BC39">
        <v>81.869560000000007</v>
      </c>
      <c r="BD39">
        <v>82.789000000000001</v>
      </c>
    </row>
    <row r="40" spans="1:56">
      <c r="A40">
        <v>2020000000</v>
      </c>
      <c r="B40" t="s">
        <v>6</v>
      </c>
      <c r="C40">
        <v>2</v>
      </c>
      <c r="D40" t="s">
        <v>73</v>
      </c>
      <c r="E40">
        <v>0</v>
      </c>
      <c r="F40" t="s">
        <v>74</v>
      </c>
      <c r="G40">
        <v>27</v>
      </c>
      <c r="H40" t="s">
        <v>101</v>
      </c>
      <c r="J40">
        <v>80.173739999999995</v>
      </c>
      <c r="K40">
        <v>85.381360000000001</v>
      </c>
      <c r="L40">
        <v>85.358949999999993</v>
      </c>
      <c r="M40">
        <v>80.677700000000002</v>
      </c>
      <c r="N40">
        <v>87.15052</v>
      </c>
      <c r="O40">
        <v>88.526489999999995</v>
      </c>
      <c r="P40">
        <v>82.887919999999994</v>
      </c>
      <c r="Q40">
        <v>80.001279999999994</v>
      </c>
      <c r="R40">
        <v>79.989159999999998</v>
      </c>
      <c r="S40">
        <v>82.842600000000004</v>
      </c>
      <c r="T40">
        <v>76.821089999999998</v>
      </c>
      <c r="U40">
        <v>77.055099999999996</v>
      </c>
      <c r="V40">
        <v>78.24127</v>
      </c>
      <c r="W40">
        <v>74.711380000000005</v>
      </c>
      <c r="X40">
        <v>87.811949999999996</v>
      </c>
      <c r="Y40">
        <v>87.570520000000002</v>
      </c>
      <c r="Z40">
        <v>86.735330000000005</v>
      </c>
      <c r="AA40">
        <v>89.417730000000006</v>
      </c>
      <c r="AB40">
        <v>83.655450000000002</v>
      </c>
      <c r="AC40">
        <v>84.524119999999996</v>
      </c>
      <c r="AD40">
        <v>83.394940000000005</v>
      </c>
      <c r="AE40">
        <v>81.667320000000004</v>
      </c>
      <c r="AF40">
        <v>78.486360000000005</v>
      </c>
      <c r="AG40">
        <v>82.211539999999999</v>
      </c>
      <c r="AH40">
        <v>79.507199999999997</v>
      </c>
      <c r="AI40">
        <v>79.249570000000006</v>
      </c>
      <c r="AJ40">
        <v>76.893000000000001</v>
      </c>
      <c r="AK40">
        <v>76.800820000000002</v>
      </c>
      <c r="AL40">
        <v>75.696349999999995</v>
      </c>
      <c r="AM40">
        <v>80.196539999999999</v>
      </c>
      <c r="AN40">
        <v>87.877790000000005</v>
      </c>
      <c r="AO40">
        <v>88.712329999999994</v>
      </c>
      <c r="AP40">
        <v>81.925759999999997</v>
      </c>
      <c r="AQ40">
        <v>80.220849999999999</v>
      </c>
      <c r="AR40">
        <v>81.038529999999994</v>
      </c>
      <c r="AS40">
        <v>84.569659999999999</v>
      </c>
      <c r="AT40">
        <v>83.145219999999995</v>
      </c>
      <c r="AU40">
        <v>81.654520000000005</v>
      </c>
      <c r="AV40">
        <v>87.643680000000003</v>
      </c>
      <c r="AW40">
        <v>80.027630000000002</v>
      </c>
      <c r="AX40">
        <v>86.136319999999998</v>
      </c>
      <c r="AY40">
        <v>83.496200000000002</v>
      </c>
      <c r="AZ40">
        <v>85.090320000000006</v>
      </c>
      <c r="BA40">
        <v>83.232389999999995</v>
      </c>
      <c r="BB40">
        <v>85.683369999999996</v>
      </c>
      <c r="BC40">
        <v>84.618769999999998</v>
      </c>
      <c r="BD40">
        <v>83.415869999999998</v>
      </c>
    </row>
    <row r="41" spans="1:56">
      <c r="A41">
        <v>2020000000</v>
      </c>
      <c r="B41" t="s">
        <v>6</v>
      </c>
      <c r="C41">
        <v>2</v>
      </c>
      <c r="D41" t="s">
        <v>73</v>
      </c>
      <c r="E41">
        <v>0</v>
      </c>
      <c r="F41" t="s">
        <v>74</v>
      </c>
      <c r="G41">
        <v>28</v>
      </c>
      <c r="H41" t="s">
        <v>102</v>
      </c>
      <c r="J41">
        <v>80.655159999999995</v>
      </c>
      <c r="K41">
        <v>85.59572</v>
      </c>
      <c r="L41">
        <v>85.905479999999997</v>
      </c>
      <c r="M41">
        <v>81.342179999999999</v>
      </c>
      <c r="N41">
        <v>86.873379999999997</v>
      </c>
      <c r="O41">
        <v>89.787170000000003</v>
      </c>
      <c r="P41">
        <v>83.782179999999997</v>
      </c>
      <c r="Q41">
        <v>81.287009999999995</v>
      </c>
      <c r="R41">
        <v>81.731870000000001</v>
      </c>
      <c r="S41">
        <v>83.340670000000003</v>
      </c>
      <c r="T41">
        <v>77.802909999999997</v>
      </c>
      <c r="U41">
        <v>78.099980000000002</v>
      </c>
      <c r="V41">
        <v>78.562910000000002</v>
      </c>
      <c r="W41">
        <v>76.212599999999995</v>
      </c>
      <c r="X41">
        <v>87.869159999999994</v>
      </c>
      <c r="Y41">
        <v>88.119630000000001</v>
      </c>
      <c r="Z41">
        <v>87.429590000000005</v>
      </c>
      <c r="AA41">
        <v>89.751069999999999</v>
      </c>
      <c r="AB41">
        <v>84.371459999999999</v>
      </c>
      <c r="AC41">
        <v>85.465879999999999</v>
      </c>
      <c r="AD41">
        <v>84.176439999999999</v>
      </c>
      <c r="AE41">
        <v>82.928520000000006</v>
      </c>
      <c r="AF41">
        <v>79.380769999999998</v>
      </c>
      <c r="AG41">
        <v>83.090819999999994</v>
      </c>
      <c r="AH41">
        <v>81.838790000000003</v>
      </c>
      <c r="AI41">
        <v>80.38597</v>
      </c>
      <c r="AJ41">
        <v>77.653040000000004</v>
      </c>
      <c r="AK41">
        <v>77.347710000000006</v>
      </c>
      <c r="AL41">
        <v>76.546149999999997</v>
      </c>
      <c r="AM41">
        <v>81.394890000000004</v>
      </c>
      <c r="AN41">
        <v>88.37209</v>
      </c>
      <c r="AO41">
        <v>90.247929999999997</v>
      </c>
      <c r="AP41">
        <v>83.14949</v>
      </c>
      <c r="AQ41">
        <v>81.34872</v>
      </c>
      <c r="AR41">
        <v>82.203969999999998</v>
      </c>
      <c r="AS41">
        <v>85.241479999999996</v>
      </c>
      <c r="AT41">
        <v>83.994280000000003</v>
      </c>
      <c r="AU41">
        <v>82.356129999999993</v>
      </c>
      <c r="AV41">
        <v>87.907229999999998</v>
      </c>
      <c r="AW41">
        <v>81.01885</v>
      </c>
      <c r="AX41">
        <v>85.792119999999997</v>
      </c>
      <c r="AY41">
        <v>84.968029999999999</v>
      </c>
      <c r="AZ41">
        <v>86.167550000000006</v>
      </c>
      <c r="BA41">
        <v>83.509150000000005</v>
      </c>
      <c r="BB41">
        <v>86.773979999999995</v>
      </c>
      <c r="BC41">
        <v>83.946010000000001</v>
      </c>
      <c r="BD41">
        <v>83.849680000000006</v>
      </c>
    </row>
    <row r="42" spans="1:56">
      <c r="A42">
        <v>2020000000</v>
      </c>
      <c r="B42" t="s">
        <v>6</v>
      </c>
      <c r="C42">
        <v>2</v>
      </c>
      <c r="D42" t="s">
        <v>73</v>
      </c>
      <c r="E42">
        <v>0</v>
      </c>
      <c r="F42" t="s">
        <v>74</v>
      </c>
      <c r="G42">
        <v>29</v>
      </c>
      <c r="H42" t="s">
        <v>103</v>
      </c>
      <c r="J42">
        <v>81.189539999999994</v>
      </c>
      <c r="K42">
        <v>86.116349999999997</v>
      </c>
      <c r="L42">
        <v>87.434190000000001</v>
      </c>
      <c r="M42">
        <v>82.301869999999994</v>
      </c>
      <c r="N42">
        <v>88.543940000000006</v>
      </c>
      <c r="O42">
        <v>89.700620000000001</v>
      </c>
      <c r="P42">
        <v>84.803640000000001</v>
      </c>
      <c r="Q42">
        <v>82.015829999999994</v>
      </c>
      <c r="R42">
        <v>81.859120000000004</v>
      </c>
      <c r="S42">
        <v>84.125370000000004</v>
      </c>
      <c r="T42">
        <v>78.720060000000004</v>
      </c>
      <c r="U42">
        <v>78.696979999999996</v>
      </c>
      <c r="V42">
        <v>79.226190000000003</v>
      </c>
      <c r="W42">
        <v>76.821879999999993</v>
      </c>
      <c r="X42">
        <v>88.569749999999999</v>
      </c>
      <c r="Y42">
        <v>88.582490000000007</v>
      </c>
      <c r="Z42">
        <v>88.214179999999999</v>
      </c>
      <c r="AA42">
        <v>89.761390000000006</v>
      </c>
      <c r="AB42">
        <v>85.194019999999995</v>
      </c>
      <c r="AC42">
        <v>85.933480000000003</v>
      </c>
      <c r="AD42">
        <v>84.717920000000007</v>
      </c>
      <c r="AE42">
        <v>83.910529999999994</v>
      </c>
      <c r="AF42">
        <v>80.434640000000002</v>
      </c>
      <c r="AG42">
        <v>83.493570000000005</v>
      </c>
      <c r="AH42">
        <v>81.440969999999993</v>
      </c>
      <c r="AI42">
        <v>81.262839999999997</v>
      </c>
      <c r="AJ42">
        <v>78.276849999999996</v>
      </c>
      <c r="AK42">
        <v>79.130430000000004</v>
      </c>
      <c r="AL42">
        <v>77.531689999999998</v>
      </c>
      <c r="AM42">
        <v>82.413330000000002</v>
      </c>
      <c r="AN42">
        <v>88.868560000000002</v>
      </c>
      <c r="AO42">
        <v>90.713740000000001</v>
      </c>
      <c r="AP42">
        <v>83.271209999999996</v>
      </c>
      <c r="AQ42">
        <v>82.621719999999996</v>
      </c>
      <c r="AR42">
        <v>83.030829999999995</v>
      </c>
      <c r="AS42">
        <v>84.992639999999994</v>
      </c>
      <c r="AT42">
        <v>84.006820000000005</v>
      </c>
      <c r="AU42">
        <v>83.096270000000004</v>
      </c>
      <c r="AV42">
        <v>88.732389999999995</v>
      </c>
      <c r="AW42">
        <v>81.830269999999999</v>
      </c>
      <c r="AX42">
        <v>86.681579999999997</v>
      </c>
      <c r="AY42">
        <v>85.135490000000004</v>
      </c>
      <c r="AZ42">
        <v>85.78349</v>
      </c>
      <c r="BA42">
        <v>83.985609999999994</v>
      </c>
      <c r="BB42">
        <v>87.13588</v>
      </c>
      <c r="BC42">
        <v>85.495530000000002</v>
      </c>
      <c r="BD42">
        <v>84.130020000000002</v>
      </c>
    </row>
    <row r="43" spans="1:56">
      <c r="A43">
        <v>2020000000</v>
      </c>
      <c r="B43" t="s">
        <v>6</v>
      </c>
      <c r="C43">
        <v>2</v>
      </c>
      <c r="D43" t="s">
        <v>73</v>
      </c>
      <c r="E43">
        <v>0</v>
      </c>
      <c r="F43" t="s">
        <v>74</v>
      </c>
      <c r="G43">
        <v>30</v>
      </c>
      <c r="H43" t="s">
        <v>104</v>
      </c>
      <c r="J43">
        <v>81.617270000000005</v>
      </c>
      <c r="K43">
        <v>85.217500000000001</v>
      </c>
      <c r="L43">
        <v>86.989729999999994</v>
      </c>
      <c r="M43">
        <v>82.794470000000004</v>
      </c>
      <c r="N43">
        <v>88.213189999999997</v>
      </c>
      <c r="O43">
        <v>89.294139999999999</v>
      </c>
      <c r="P43">
        <v>85.120850000000004</v>
      </c>
      <c r="Q43">
        <v>81.986490000000003</v>
      </c>
      <c r="R43">
        <v>82.351969999999994</v>
      </c>
      <c r="S43">
        <v>84.255619999999993</v>
      </c>
      <c r="T43">
        <v>79.339110000000005</v>
      </c>
      <c r="U43">
        <v>79.564949999999996</v>
      </c>
      <c r="V43">
        <v>79.333479999999994</v>
      </c>
      <c r="W43">
        <v>77.634309999999999</v>
      </c>
      <c r="X43">
        <v>88.576660000000004</v>
      </c>
      <c r="Y43">
        <v>88.640050000000002</v>
      </c>
      <c r="Z43">
        <v>88.555679999999995</v>
      </c>
      <c r="AA43">
        <v>89.910920000000004</v>
      </c>
      <c r="AB43">
        <v>85.800169999999994</v>
      </c>
      <c r="AC43">
        <v>86.905919999999995</v>
      </c>
      <c r="AD43">
        <v>85.454830000000001</v>
      </c>
      <c r="AE43">
        <v>83.752669999999995</v>
      </c>
      <c r="AF43">
        <v>80.811419999999998</v>
      </c>
      <c r="AG43">
        <v>83.447959999999995</v>
      </c>
      <c r="AH43">
        <v>82.959689999999995</v>
      </c>
      <c r="AI43">
        <v>81.362700000000004</v>
      </c>
      <c r="AJ43">
        <v>78.887929999999997</v>
      </c>
      <c r="AK43">
        <v>79.317599999999999</v>
      </c>
      <c r="AL43">
        <v>77.743679999999998</v>
      </c>
      <c r="AM43">
        <v>82.089550000000003</v>
      </c>
      <c r="AN43">
        <v>89.334500000000006</v>
      </c>
      <c r="AO43">
        <v>90.46772</v>
      </c>
      <c r="AP43">
        <v>83.774330000000006</v>
      </c>
      <c r="AQ43">
        <v>82.663340000000005</v>
      </c>
      <c r="AR43">
        <v>82.859930000000006</v>
      </c>
      <c r="AS43">
        <v>84.037239999999997</v>
      </c>
      <c r="AT43">
        <v>84.311199999999999</v>
      </c>
      <c r="AU43">
        <v>82.744129999999998</v>
      </c>
      <c r="AV43">
        <v>88.710059999999999</v>
      </c>
      <c r="AW43">
        <v>81.864930000000001</v>
      </c>
      <c r="AX43">
        <v>87.271640000000005</v>
      </c>
      <c r="AY43">
        <v>85.475629999999995</v>
      </c>
      <c r="AZ43">
        <v>87.446550000000002</v>
      </c>
      <c r="BA43">
        <v>84.013509999999997</v>
      </c>
      <c r="BB43">
        <v>87.850049999999996</v>
      </c>
      <c r="BC43">
        <v>85.39855</v>
      </c>
      <c r="BD43">
        <v>83.975579999999994</v>
      </c>
    </row>
    <row r="44" spans="1:56">
      <c r="A44">
        <v>2020000000</v>
      </c>
      <c r="B44" t="s">
        <v>6</v>
      </c>
      <c r="C44">
        <v>2</v>
      </c>
      <c r="D44" t="s">
        <v>73</v>
      </c>
      <c r="E44">
        <v>0</v>
      </c>
      <c r="F44" t="s">
        <v>74</v>
      </c>
      <c r="G44">
        <v>31</v>
      </c>
      <c r="H44" t="s">
        <v>105</v>
      </c>
      <c r="J44">
        <v>81.961659999999995</v>
      </c>
      <c r="K44">
        <v>86.270139999999998</v>
      </c>
      <c r="L44">
        <v>85.927049999999994</v>
      </c>
      <c r="M44">
        <v>82.803470000000004</v>
      </c>
      <c r="N44">
        <v>86.701859999999996</v>
      </c>
      <c r="O44">
        <v>89.346249999999998</v>
      </c>
      <c r="P44">
        <v>84.617490000000004</v>
      </c>
      <c r="Q44">
        <v>81.896090000000001</v>
      </c>
      <c r="R44">
        <v>82.618279999999999</v>
      </c>
      <c r="S44">
        <v>84.04974</v>
      </c>
      <c r="T44">
        <v>80.111540000000005</v>
      </c>
      <c r="U44">
        <v>79.962540000000004</v>
      </c>
      <c r="V44">
        <v>79.897620000000003</v>
      </c>
      <c r="W44">
        <v>78.066460000000006</v>
      </c>
      <c r="X44">
        <v>88.453919999999997</v>
      </c>
      <c r="Y44">
        <v>89.310299999999998</v>
      </c>
      <c r="Z44">
        <v>88.084019999999995</v>
      </c>
      <c r="AA44">
        <v>89.974189999999993</v>
      </c>
      <c r="AB44">
        <v>85.691320000000005</v>
      </c>
      <c r="AC44">
        <v>87.136690000000002</v>
      </c>
      <c r="AD44">
        <v>86.307659999999998</v>
      </c>
      <c r="AE44">
        <v>84.342920000000007</v>
      </c>
      <c r="AF44">
        <v>81.548760000000001</v>
      </c>
      <c r="AG44">
        <v>83.798029999999997</v>
      </c>
      <c r="AH44">
        <v>83.188980000000001</v>
      </c>
      <c r="AI44">
        <v>81.428749999999994</v>
      </c>
      <c r="AJ44">
        <v>78.767660000000006</v>
      </c>
      <c r="AK44">
        <v>79.923789999999997</v>
      </c>
      <c r="AL44">
        <v>77.763589999999994</v>
      </c>
      <c r="AM44">
        <v>82.475610000000003</v>
      </c>
      <c r="AN44">
        <v>89.145020000000002</v>
      </c>
      <c r="AO44">
        <v>90.603859999999997</v>
      </c>
      <c r="AP44">
        <v>84.076030000000003</v>
      </c>
      <c r="AQ44">
        <v>83.11627</v>
      </c>
      <c r="AR44">
        <v>83.694280000000006</v>
      </c>
      <c r="AS44">
        <v>83.515559999999994</v>
      </c>
      <c r="AT44">
        <v>84.633279999999999</v>
      </c>
      <c r="AU44">
        <v>83.151730000000001</v>
      </c>
      <c r="AV44">
        <v>88.195580000000007</v>
      </c>
      <c r="AW44">
        <v>82.147239999999996</v>
      </c>
      <c r="AX44">
        <v>87.74906</v>
      </c>
      <c r="AY44">
        <v>84.955650000000006</v>
      </c>
      <c r="AZ44">
        <v>86.962559999999996</v>
      </c>
      <c r="BA44">
        <v>84.625050000000002</v>
      </c>
      <c r="BB44">
        <v>87.162459999999996</v>
      </c>
      <c r="BC44">
        <v>86.172449999999998</v>
      </c>
      <c r="BD44">
        <v>83.558279999999996</v>
      </c>
    </row>
    <row r="45" spans="1:56">
      <c r="A45">
        <v>2020000000</v>
      </c>
      <c r="B45" t="s">
        <v>6</v>
      </c>
      <c r="C45">
        <v>2</v>
      </c>
      <c r="D45" t="s">
        <v>73</v>
      </c>
      <c r="E45">
        <v>0</v>
      </c>
      <c r="F45" t="s">
        <v>74</v>
      </c>
      <c r="G45">
        <v>32</v>
      </c>
      <c r="H45" t="s">
        <v>106</v>
      </c>
      <c r="J45">
        <v>81.737840000000006</v>
      </c>
      <c r="K45">
        <v>85.144099999999995</v>
      </c>
      <c r="L45">
        <v>86.896109999999993</v>
      </c>
      <c r="M45">
        <v>82.306479999999993</v>
      </c>
      <c r="N45">
        <v>86.806129999999996</v>
      </c>
      <c r="O45">
        <v>89.149690000000007</v>
      </c>
      <c r="P45">
        <v>84.656880000000001</v>
      </c>
      <c r="Q45">
        <v>82.308160000000001</v>
      </c>
      <c r="R45">
        <v>82.796340000000001</v>
      </c>
      <c r="S45">
        <v>84.597859999999997</v>
      </c>
      <c r="T45">
        <v>80.365030000000004</v>
      </c>
      <c r="U45">
        <v>79.92371</v>
      </c>
      <c r="V45">
        <v>80.065730000000002</v>
      </c>
      <c r="W45">
        <v>78.37012</v>
      </c>
      <c r="X45">
        <v>88.175049999999999</v>
      </c>
      <c r="Y45">
        <v>89.130160000000004</v>
      </c>
      <c r="Z45">
        <v>88.894220000000004</v>
      </c>
      <c r="AA45">
        <v>89.418890000000005</v>
      </c>
      <c r="AB45">
        <v>85.213930000000005</v>
      </c>
      <c r="AC45">
        <v>86.743520000000004</v>
      </c>
      <c r="AD45">
        <v>85.648150000000001</v>
      </c>
      <c r="AE45">
        <v>85.161439999999999</v>
      </c>
      <c r="AF45">
        <v>81.540869999999998</v>
      </c>
      <c r="AG45">
        <v>84.024289999999993</v>
      </c>
      <c r="AH45">
        <v>83.062179999999998</v>
      </c>
      <c r="AI45">
        <v>81.515690000000006</v>
      </c>
      <c r="AJ45">
        <v>79.137540000000001</v>
      </c>
      <c r="AK45">
        <v>79.594099999999997</v>
      </c>
      <c r="AL45">
        <v>78.937870000000004</v>
      </c>
      <c r="AM45">
        <v>82.046390000000002</v>
      </c>
      <c r="AN45">
        <v>89.119739999999993</v>
      </c>
      <c r="AO45">
        <v>89.775620000000004</v>
      </c>
      <c r="AP45">
        <v>84.455839999999995</v>
      </c>
      <c r="AQ45">
        <v>83.036069999999995</v>
      </c>
      <c r="AR45">
        <v>83.816689999999994</v>
      </c>
      <c r="AS45">
        <v>83.398719999999997</v>
      </c>
      <c r="AT45">
        <v>84.549480000000003</v>
      </c>
      <c r="AU45">
        <v>82.774370000000005</v>
      </c>
      <c r="AV45">
        <v>87.896060000000006</v>
      </c>
      <c r="AW45">
        <v>82.137069999999994</v>
      </c>
      <c r="AX45">
        <v>86.960530000000006</v>
      </c>
      <c r="AY45">
        <v>84.936999999999998</v>
      </c>
      <c r="AZ45">
        <v>86.218819999999994</v>
      </c>
      <c r="BA45">
        <v>83.916269999999997</v>
      </c>
      <c r="BB45">
        <v>87.027109999999993</v>
      </c>
      <c r="BC45">
        <v>84.873609999999999</v>
      </c>
      <c r="BD45">
        <v>83.540049999999994</v>
      </c>
    </row>
    <row r="46" spans="1:56">
      <c r="A46">
        <v>2020000000</v>
      </c>
      <c r="B46" t="s">
        <v>6</v>
      </c>
      <c r="C46">
        <v>2</v>
      </c>
      <c r="D46" t="s">
        <v>73</v>
      </c>
      <c r="E46">
        <v>0</v>
      </c>
      <c r="F46" t="s">
        <v>74</v>
      </c>
      <c r="G46">
        <v>33</v>
      </c>
      <c r="H46" t="s">
        <v>107</v>
      </c>
      <c r="J46">
        <v>80.88194</v>
      </c>
      <c r="K46">
        <v>84.276799999999994</v>
      </c>
      <c r="L46">
        <v>85.748760000000004</v>
      </c>
      <c r="M46">
        <v>81.994389999999996</v>
      </c>
      <c r="N46">
        <v>86.72757</v>
      </c>
      <c r="O46">
        <v>89.080799999999996</v>
      </c>
      <c r="P46">
        <v>84.592969999999994</v>
      </c>
      <c r="Q46">
        <v>81.959559999999996</v>
      </c>
      <c r="R46">
        <v>82.141009999999994</v>
      </c>
      <c r="S46">
        <v>84.031649999999999</v>
      </c>
      <c r="T46">
        <v>80.416740000000004</v>
      </c>
      <c r="U46">
        <v>80.152810000000002</v>
      </c>
      <c r="V46">
        <v>79.889039999999994</v>
      </c>
      <c r="W46">
        <v>78.27467</v>
      </c>
      <c r="X46">
        <v>88.142080000000007</v>
      </c>
      <c r="Y46">
        <v>89.23272</v>
      </c>
      <c r="Z46">
        <v>88.210009999999997</v>
      </c>
      <c r="AA46">
        <v>89.26397</v>
      </c>
      <c r="AB46">
        <v>84.713719999999995</v>
      </c>
      <c r="AC46">
        <v>87.314890000000005</v>
      </c>
      <c r="AD46">
        <v>85.850160000000002</v>
      </c>
      <c r="AE46">
        <v>84.559989999999999</v>
      </c>
      <c r="AF46">
        <v>81.188140000000004</v>
      </c>
      <c r="AG46">
        <v>84.002210000000005</v>
      </c>
      <c r="AH46">
        <v>82.748360000000005</v>
      </c>
      <c r="AI46">
        <v>81.278559999999999</v>
      </c>
      <c r="AJ46">
        <v>78.914500000000004</v>
      </c>
      <c r="AK46">
        <v>79.600480000000005</v>
      </c>
      <c r="AL46">
        <v>78.320670000000007</v>
      </c>
      <c r="AM46">
        <v>81.94041</v>
      </c>
      <c r="AN46">
        <v>88.470010000000002</v>
      </c>
      <c r="AO46">
        <v>89.967860000000002</v>
      </c>
      <c r="AP46">
        <v>83.804360000000003</v>
      </c>
      <c r="AQ46">
        <v>83.155280000000005</v>
      </c>
      <c r="AR46">
        <v>83.026229999999998</v>
      </c>
      <c r="AS46">
        <v>84.142330000000001</v>
      </c>
      <c r="AT46">
        <v>84.786779999999993</v>
      </c>
      <c r="AU46">
        <v>83.2363</v>
      </c>
      <c r="AV46">
        <v>86.881240000000005</v>
      </c>
      <c r="AW46">
        <v>81.5852</v>
      </c>
      <c r="AX46">
        <v>86.601500000000001</v>
      </c>
      <c r="AY46">
        <v>83.990039999999993</v>
      </c>
      <c r="AZ46">
        <v>85.995859999999993</v>
      </c>
      <c r="BA46">
        <v>83.309070000000006</v>
      </c>
      <c r="BB46">
        <v>86.770539999999997</v>
      </c>
      <c r="BC46">
        <v>85.181039999999996</v>
      </c>
      <c r="BD46">
        <v>82.289209999999997</v>
      </c>
    </row>
    <row r="47" spans="1:56">
      <c r="A47">
        <v>2020000000</v>
      </c>
      <c r="B47" t="s">
        <v>6</v>
      </c>
      <c r="C47">
        <v>2</v>
      </c>
      <c r="D47" t="s">
        <v>73</v>
      </c>
      <c r="E47">
        <v>0</v>
      </c>
      <c r="F47" t="s">
        <v>74</v>
      </c>
      <c r="G47">
        <v>34</v>
      </c>
      <c r="H47" t="s">
        <v>108</v>
      </c>
      <c r="J47">
        <v>81.346580000000003</v>
      </c>
      <c r="K47">
        <v>84.370490000000004</v>
      </c>
      <c r="L47">
        <v>85.971689999999995</v>
      </c>
      <c r="M47">
        <v>81.294539999999998</v>
      </c>
      <c r="N47">
        <v>85.557400000000001</v>
      </c>
      <c r="O47">
        <v>89.306179999999998</v>
      </c>
      <c r="P47">
        <v>84.21387</v>
      </c>
      <c r="Q47">
        <v>81.852440000000001</v>
      </c>
      <c r="R47">
        <v>82.581620000000001</v>
      </c>
      <c r="S47">
        <v>83.927809999999994</v>
      </c>
      <c r="T47">
        <v>80.395840000000007</v>
      </c>
      <c r="U47">
        <v>79.633309999999994</v>
      </c>
      <c r="V47">
        <v>79.76088</v>
      </c>
      <c r="W47">
        <v>77.868039999999993</v>
      </c>
      <c r="X47">
        <v>87.951549999999997</v>
      </c>
      <c r="Y47">
        <v>88.110979999999998</v>
      </c>
      <c r="Z47">
        <v>87.477249999999998</v>
      </c>
      <c r="AA47">
        <v>89.062209999999993</v>
      </c>
      <c r="AB47">
        <v>84.746719999999996</v>
      </c>
      <c r="AC47">
        <v>87.099029999999999</v>
      </c>
      <c r="AD47">
        <v>85.586749999999995</v>
      </c>
      <c r="AE47">
        <v>84.803939999999997</v>
      </c>
      <c r="AF47">
        <v>81.339179999999999</v>
      </c>
      <c r="AG47">
        <v>83.721490000000003</v>
      </c>
      <c r="AH47">
        <v>82.964889999999997</v>
      </c>
      <c r="AI47">
        <v>81.392629999999997</v>
      </c>
      <c r="AJ47">
        <v>78.768420000000006</v>
      </c>
      <c r="AK47">
        <v>79.683400000000006</v>
      </c>
      <c r="AL47">
        <v>78.121420000000001</v>
      </c>
      <c r="AM47">
        <v>81.66901</v>
      </c>
      <c r="AN47">
        <v>87.786050000000003</v>
      </c>
      <c r="AO47">
        <v>89.758449999999996</v>
      </c>
      <c r="AP47">
        <v>83.858909999999995</v>
      </c>
      <c r="AQ47">
        <v>82.730590000000007</v>
      </c>
      <c r="AR47">
        <v>83.087670000000003</v>
      </c>
      <c r="AS47">
        <v>83.288020000000003</v>
      </c>
      <c r="AT47">
        <v>84.350740000000002</v>
      </c>
      <c r="AU47">
        <v>83.34084</v>
      </c>
      <c r="AV47">
        <v>86.561719999999994</v>
      </c>
      <c r="AW47">
        <v>82.021969999999996</v>
      </c>
      <c r="AX47">
        <v>86.714510000000004</v>
      </c>
      <c r="AY47">
        <v>83.352959999999996</v>
      </c>
      <c r="AZ47">
        <v>85.560950000000005</v>
      </c>
      <c r="BA47">
        <v>84.053380000000004</v>
      </c>
      <c r="BB47">
        <v>85.766530000000003</v>
      </c>
      <c r="BC47">
        <v>84.468130000000002</v>
      </c>
      <c r="BD47">
        <v>82.302090000000007</v>
      </c>
    </row>
    <row r="48" spans="1:56">
      <c r="A48">
        <v>2020000000</v>
      </c>
      <c r="B48" t="s">
        <v>6</v>
      </c>
      <c r="C48">
        <v>2</v>
      </c>
      <c r="D48" t="s">
        <v>73</v>
      </c>
      <c r="E48">
        <v>0</v>
      </c>
      <c r="F48" t="s">
        <v>74</v>
      </c>
      <c r="G48">
        <v>35</v>
      </c>
      <c r="H48" t="s">
        <v>109</v>
      </c>
      <c r="J48">
        <v>80.89855</v>
      </c>
      <c r="K48">
        <v>84.092280000000002</v>
      </c>
      <c r="L48">
        <v>85.661159999999995</v>
      </c>
      <c r="M48">
        <v>81.683000000000007</v>
      </c>
      <c r="N48">
        <v>85.787670000000006</v>
      </c>
      <c r="O48">
        <v>88.754959999999997</v>
      </c>
      <c r="P48">
        <v>83.7637</v>
      </c>
      <c r="Q48">
        <v>81.194890000000001</v>
      </c>
      <c r="R48">
        <v>81.994110000000006</v>
      </c>
      <c r="S48">
        <v>83.574950000000001</v>
      </c>
      <c r="T48">
        <v>80.053380000000004</v>
      </c>
      <c r="U48">
        <v>79.819909999999993</v>
      </c>
      <c r="V48">
        <v>80.054839999999999</v>
      </c>
      <c r="W48">
        <v>78.354110000000006</v>
      </c>
      <c r="X48">
        <v>87.590260000000001</v>
      </c>
      <c r="Y48">
        <v>88.119209999999995</v>
      </c>
      <c r="Z48">
        <v>87.690730000000002</v>
      </c>
      <c r="AA48">
        <v>88.962339999999998</v>
      </c>
      <c r="AB48">
        <v>84.173199999999994</v>
      </c>
      <c r="AC48">
        <v>86.745410000000007</v>
      </c>
      <c r="AD48">
        <v>85.890730000000005</v>
      </c>
      <c r="AE48">
        <v>84.580119999999994</v>
      </c>
      <c r="AF48">
        <v>81.178169999999994</v>
      </c>
      <c r="AG48">
        <v>83.296779999999998</v>
      </c>
      <c r="AH48">
        <v>83.315860000000001</v>
      </c>
      <c r="AI48">
        <v>80.968019999999996</v>
      </c>
      <c r="AJ48">
        <v>78.62867</v>
      </c>
      <c r="AK48">
        <v>79.418620000000004</v>
      </c>
      <c r="AL48">
        <v>77.489590000000007</v>
      </c>
      <c r="AM48">
        <v>81.847080000000005</v>
      </c>
      <c r="AN48">
        <v>86.824929999999995</v>
      </c>
      <c r="AO48">
        <v>88.960539999999995</v>
      </c>
      <c r="AP48">
        <v>83.937780000000004</v>
      </c>
      <c r="AQ48">
        <v>82.399180000000001</v>
      </c>
      <c r="AR48">
        <v>82.839150000000004</v>
      </c>
      <c r="AS48">
        <v>82.950109999999995</v>
      </c>
      <c r="AT48">
        <v>83.937569999999994</v>
      </c>
      <c r="AU48">
        <v>83.090549999999993</v>
      </c>
      <c r="AV48">
        <v>86.674610000000001</v>
      </c>
      <c r="AW48">
        <v>82.254130000000004</v>
      </c>
      <c r="AX48">
        <v>86.263400000000004</v>
      </c>
      <c r="AY48">
        <v>83.837900000000005</v>
      </c>
      <c r="AZ48">
        <v>85.296409999999995</v>
      </c>
      <c r="BA48">
        <v>83.983930000000001</v>
      </c>
      <c r="BB48">
        <v>88.094859999999997</v>
      </c>
      <c r="BC48">
        <v>84.347539999999995</v>
      </c>
      <c r="BD48">
        <v>81.855900000000005</v>
      </c>
    </row>
    <row r="49" spans="1:56">
      <c r="A49">
        <v>2020000000</v>
      </c>
      <c r="B49" t="s">
        <v>6</v>
      </c>
      <c r="C49">
        <v>2</v>
      </c>
      <c r="D49" t="s">
        <v>73</v>
      </c>
      <c r="E49">
        <v>0</v>
      </c>
      <c r="F49" t="s">
        <v>74</v>
      </c>
      <c r="G49">
        <v>36</v>
      </c>
      <c r="H49" t="s">
        <v>110</v>
      </c>
      <c r="J49">
        <v>80.134389999999996</v>
      </c>
      <c r="K49">
        <v>83.176900000000003</v>
      </c>
      <c r="L49">
        <v>84.810969999999998</v>
      </c>
      <c r="M49">
        <v>80.921970000000002</v>
      </c>
      <c r="N49">
        <v>84.624529999999993</v>
      </c>
      <c r="O49">
        <v>87.773060000000001</v>
      </c>
      <c r="P49">
        <v>82.850359999999995</v>
      </c>
      <c r="Q49">
        <v>80.729280000000003</v>
      </c>
      <c r="R49">
        <v>81.704440000000005</v>
      </c>
      <c r="S49">
        <v>82.838790000000003</v>
      </c>
      <c r="T49">
        <v>79.987939999999995</v>
      </c>
      <c r="U49">
        <v>79.449579999999997</v>
      </c>
      <c r="V49">
        <v>79.236320000000006</v>
      </c>
      <c r="W49">
        <v>77.759969999999996</v>
      </c>
      <c r="X49">
        <v>87.447509999999994</v>
      </c>
      <c r="Y49">
        <v>87.049949999999995</v>
      </c>
      <c r="Z49">
        <v>87.467500000000001</v>
      </c>
      <c r="AA49">
        <v>87.344909999999999</v>
      </c>
      <c r="AB49">
        <v>84.480810000000005</v>
      </c>
      <c r="AC49">
        <v>86.277259999999998</v>
      </c>
      <c r="AD49">
        <v>84.781139999999994</v>
      </c>
      <c r="AE49">
        <v>84.230609999999999</v>
      </c>
      <c r="AF49">
        <v>80.611580000000004</v>
      </c>
      <c r="AG49">
        <v>82.715310000000002</v>
      </c>
      <c r="AH49">
        <v>82.003489999999999</v>
      </c>
      <c r="AI49">
        <v>80.677779999999998</v>
      </c>
      <c r="AJ49">
        <v>78.246440000000007</v>
      </c>
      <c r="AK49">
        <v>78.861680000000007</v>
      </c>
      <c r="AL49">
        <v>77.478750000000005</v>
      </c>
      <c r="AM49">
        <v>80.116110000000006</v>
      </c>
      <c r="AN49">
        <v>86.527330000000006</v>
      </c>
      <c r="AO49">
        <v>87.778930000000003</v>
      </c>
      <c r="AP49">
        <v>82.918360000000007</v>
      </c>
      <c r="AQ49">
        <v>82.404839999999993</v>
      </c>
      <c r="AR49">
        <v>82.841329999999999</v>
      </c>
      <c r="AS49">
        <v>81.517859999999999</v>
      </c>
      <c r="AT49">
        <v>83.248400000000004</v>
      </c>
      <c r="AU49">
        <v>81.979699999999994</v>
      </c>
      <c r="AV49">
        <v>85.394069999999999</v>
      </c>
      <c r="AW49">
        <v>81.36112</v>
      </c>
      <c r="AX49">
        <v>85.690920000000006</v>
      </c>
      <c r="AY49">
        <v>83.79759</v>
      </c>
      <c r="AZ49">
        <v>85.001000000000005</v>
      </c>
      <c r="BA49">
        <v>83.411699999999996</v>
      </c>
      <c r="BB49">
        <v>85.38449</v>
      </c>
      <c r="BC49">
        <v>84.035979999999995</v>
      </c>
      <c r="BD49">
        <v>80.938649999999996</v>
      </c>
    </row>
    <row r="50" spans="1:56">
      <c r="A50">
        <v>2020000000</v>
      </c>
      <c r="B50" t="s">
        <v>6</v>
      </c>
      <c r="C50">
        <v>2</v>
      </c>
      <c r="D50" t="s">
        <v>73</v>
      </c>
      <c r="E50">
        <v>0</v>
      </c>
      <c r="F50" t="s">
        <v>74</v>
      </c>
      <c r="G50">
        <v>37</v>
      </c>
      <c r="H50" t="s">
        <v>111</v>
      </c>
      <c r="J50">
        <v>79.633970000000005</v>
      </c>
      <c r="K50">
        <v>82.898870000000002</v>
      </c>
      <c r="L50">
        <v>84.252989999999997</v>
      </c>
      <c r="M50">
        <v>80.032989999999998</v>
      </c>
      <c r="N50">
        <v>83.549270000000007</v>
      </c>
      <c r="O50">
        <v>87.822239999999994</v>
      </c>
      <c r="P50">
        <v>82.15634</v>
      </c>
      <c r="Q50">
        <v>80.306479999999993</v>
      </c>
      <c r="R50">
        <v>81.107519999999994</v>
      </c>
      <c r="S50">
        <v>82.928340000000006</v>
      </c>
      <c r="T50">
        <v>79.296760000000006</v>
      </c>
      <c r="U50">
        <v>79.275739999999999</v>
      </c>
      <c r="V50">
        <v>78.94896</v>
      </c>
      <c r="W50">
        <v>77.749549999999999</v>
      </c>
      <c r="X50">
        <v>85.957660000000004</v>
      </c>
      <c r="Y50">
        <v>87.377650000000003</v>
      </c>
      <c r="Z50">
        <v>86.532030000000006</v>
      </c>
      <c r="AA50">
        <v>88.390609999999995</v>
      </c>
      <c r="AB50">
        <v>83.218350000000001</v>
      </c>
      <c r="AC50">
        <v>85.900090000000006</v>
      </c>
      <c r="AD50">
        <v>84.622969999999995</v>
      </c>
      <c r="AE50">
        <v>83.934629999999999</v>
      </c>
      <c r="AF50">
        <v>80.194699999999997</v>
      </c>
      <c r="AG50">
        <v>82.569209999999998</v>
      </c>
      <c r="AH50">
        <v>82.134519999999995</v>
      </c>
      <c r="AI50">
        <v>79.387730000000005</v>
      </c>
      <c r="AJ50">
        <v>77.655619999999999</v>
      </c>
      <c r="AK50">
        <v>78.687420000000003</v>
      </c>
      <c r="AL50">
        <v>76.413640000000001</v>
      </c>
      <c r="AM50">
        <v>81.028890000000004</v>
      </c>
      <c r="AN50">
        <v>86.537859999999995</v>
      </c>
      <c r="AO50">
        <v>87.02467</v>
      </c>
      <c r="AP50">
        <v>82.976699999999994</v>
      </c>
      <c r="AQ50">
        <v>81.54298</v>
      </c>
      <c r="AR50">
        <v>82.412940000000006</v>
      </c>
      <c r="AS50">
        <v>81.101640000000003</v>
      </c>
      <c r="AT50">
        <v>83.089770000000001</v>
      </c>
      <c r="AU50">
        <v>82.366389999999996</v>
      </c>
      <c r="AV50">
        <v>85.495810000000006</v>
      </c>
      <c r="AW50">
        <v>80.843879999999999</v>
      </c>
      <c r="AX50">
        <v>84.935059999999993</v>
      </c>
      <c r="AY50">
        <v>82.989810000000006</v>
      </c>
      <c r="AZ50">
        <v>84.441860000000005</v>
      </c>
      <c r="BA50">
        <v>83.822890000000001</v>
      </c>
      <c r="BB50">
        <v>85.450159999999997</v>
      </c>
      <c r="BC50">
        <v>83.611649999999997</v>
      </c>
      <c r="BD50">
        <v>78.918279999999996</v>
      </c>
    </row>
    <row r="51" spans="1:56">
      <c r="A51">
        <v>2020000000</v>
      </c>
      <c r="B51" t="s">
        <v>6</v>
      </c>
      <c r="C51">
        <v>2</v>
      </c>
      <c r="D51" t="s">
        <v>73</v>
      </c>
      <c r="E51">
        <v>0</v>
      </c>
      <c r="F51" t="s">
        <v>74</v>
      </c>
      <c r="G51">
        <v>38</v>
      </c>
      <c r="H51" t="s">
        <v>112</v>
      </c>
      <c r="J51">
        <v>78.925210000000007</v>
      </c>
      <c r="K51">
        <v>81.161789999999996</v>
      </c>
      <c r="L51">
        <v>83.478480000000005</v>
      </c>
      <c r="M51">
        <v>79.759519999999995</v>
      </c>
      <c r="N51">
        <v>83.926199999999994</v>
      </c>
      <c r="O51">
        <v>87.566969999999998</v>
      </c>
      <c r="P51">
        <v>81.480450000000005</v>
      </c>
      <c r="Q51">
        <v>79.796000000000006</v>
      </c>
      <c r="R51">
        <v>80.56653</v>
      </c>
      <c r="S51">
        <v>83.095330000000004</v>
      </c>
      <c r="T51">
        <v>78.644130000000004</v>
      </c>
      <c r="U51">
        <v>78.768540000000002</v>
      </c>
      <c r="V51">
        <v>78.585359999999994</v>
      </c>
      <c r="W51">
        <v>77.019120000000001</v>
      </c>
      <c r="X51">
        <v>85.964410000000001</v>
      </c>
      <c r="Y51">
        <v>87.317570000000003</v>
      </c>
      <c r="Z51">
        <v>85.529570000000007</v>
      </c>
      <c r="AA51">
        <v>86.963629999999995</v>
      </c>
      <c r="AB51">
        <v>83.596509999999995</v>
      </c>
      <c r="AC51">
        <v>85.602149999999995</v>
      </c>
      <c r="AD51">
        <v>84.01858</v>
      </c>
      <c r="AE51">
        <v>83.197130000000001</v>
      </c>
      <c r="AF51">
        <v>79.569909999999993</v>
      </c>
      <c r="AG51">
        <v>81.695930000000004</v>
      </c>
      <c r="AH51">
        <v>81.929879999999997</v>
      </c>
      <c r="AI51">
        <v>78.891050000000007</v>
      </c>
      <c r="AJ51">
        <v>77.131339999999994</v>
      </c>
      <c r="AK51">
        <v>78.130529999999993</v>
      </c>
      <c r="AL51">
        <v>76.38064</v>
      </c>
      <c r="AM51">
        <v>79.271259999999998</v>
      </c>
      <c r="AN51">
        <v>85.596180000000004</v>
      </c>
      <c r="AO51">
        <v>87.808080000000004</v>
      </c>
      <c r="AP51">
        <v>81.853939999999994</v>
      </c>
      <c r="AQ51">
        <v>80.796589999999995</v>
      </c>
      <c r="AR51">
        <v>81.379800000000003</v>
      </c>
      <c r="AS51">
        <v>81.129919999999998</v>
      </c>
      <c r="AT51">
        <v>82.305819999999997</v>
      </c>
      <c r="AU51">
        <v>81.432040000000001</v>
      </c>
      <c r="AV51">
        <v>83.955879999999993</v>
      </c>
      <c r="AW51">
        <v>80.035709999999995</v>
      </c>
      <c r="AX51">
        <v>84.606110000000001</v>
      </c>
      <c r="AY51">
        <v>82.229669999999999</v>
      </c>
      <c r="AZ51">
        <v>83.371799999999993</v>
      </c>
      <c r="BA51">
        <v>81.021680000000003</v>
      </c>
      <c r="BB51">
        <v>84.635739999999998</v>
      </c>
      <c r="BC51">
        <v>82.895989999999998</v>
      </c>
      <c r="BD51">
        <v>78.780299999999997</v>
      </c>
    </row>
    <row r="52" spans="1:56">
      <c r="A52">
        <v>2020000000</v>
      </c>
      <c r="B52" t="s">
        <v>6</v>
      </c>
      <c r="C52">
        <v>2</v>
      </c>
      <c r="D52" t="s">
        <v>73</v>
      </c>
      <c r="E52">
        <v>0</v>
      </c>
      <c r="F52" t="s">
        <v>74</v>
      </c>
      <c r="G52">
        <v>39</v>
      </c>
      <c r="H52" t="s">
        <v>113</v>
      </c>
      <c r="J52">
        <v>78.340680000000006</v>
      </c>
      <c r="K52">
        <v>81.351349999999996</v>
      </c>
      <c r="L52">
        <v>83.286410000000004</v>
      </c>
      <c r="M52">
        <v>78.691509999999994</v>
      </c>
      <c r="N52">
        <v>84.150940000000006</v>
      </c>
      <c r="O52">
        <v>86.195139999999995</v>
      </c>
      <c r="P52">
        <v>81.202669999999998</v>
      </c>
      <c r="Q52">
        <v>79.622370000000004</v>
      </c>
      <c r="R52">
        <v>80.071259999999995</v>
      </c>
      <c r="S52">
        <v>81.552570000000003</v>
      </c>
      <c r="T52">
        <v>77.90804</v>
      </c>
      <c r="U52">
        <v>77.810010000000005</v>
      </c>
      <c r="V52">
        <v>77.999350000000007</v>
      </c>
      <c r="W52">
        <v>76.241439999999997</v>
      </c>
      <c r="X52">
        <v>85.469139999999996</v>
      </c>
      <c r="Y52">
        <v>86.065209999999993</v>
      </c>
      <c r="Z52">
        <v>85.332430000000002</v>
      </c>
      <c r="AA52">
        <v>87.18</v>
      </c>
      <c r="AB52">
        <v>82.883049999999997</v>
      </c>
      <c r="AC52">
        <v>85.144120000000001</v>
      </c>
      <c r="AD52">
        <v>83.743690000000001</v>
      </c>
      <c r="AE52">
        <v>82.803359999999998</v>
      </c>
      <c r="AF52">
        <v>79.155299999999997</v>
      </c>
      <c r="AG52">
        <v>81.705370000000002</v>
      </c>
      <c r="AH52">
        <v>81.354389999999995</v>
      </c>
      <c r="AI52">
        <v>79.286270000000002</v>
      </c>
      <c r="AJ52">
        <v>76.540570000000002</v>
      </c>
      <c r="AK52">
        <v>77.270179999999996</v>
      </c>
      <c r="AL52">
        <v>74.645859999999999</v>
      </c>
      <c r="AM52">
        <v>78.303240000000002</v>
      </c>
      <c r="AN52">
        <v>84.979179999999999</v>
      </c>
      <c r="AO52">
        <v>86.873199999999997</v>
      </c>
      <c r="AP52">
        <v>81.812439999999995</v>
      </c>
      <c r="AQ52">
        <v>80.240200000000002</v>
      </c>
      <c r="AR52">
        <v>81.146479999999997</v>
      </c>
      <c r="AS52">
        <v>80.752009999999999</v>
      </c>
      <c r="AT52">
        <v>81.813429999999997</v>
      </c>
      <c r="AU52">
        <v>79.727099999999993</v>
      </c>
      <c r="AV52">
        <v>84.069050000000004</v>
      </c>
      <c r="AW52">
        <v>79.435310000000001</v>
      </c>
      <c r="AX52">
        <v>83.619659999999996</v>
      </c>
      <c r="AY52">
        <v>81.522880000000001</v>
      </c>
      <c r="AZ52">
        <v>83.645939999999996</v>
      </c>
      <c r="BA52">
        <v>81.506659999999997</v>
      </c>
      <c r="BB52">
        <v>83.867450000000005</v>
      </c>
      <c r="BC52">
        <v>82.078339999999997</v>
      </c>
      <c r="BD52">
        <v>78.918570000000003</v>
      </c>
    </row>
    <row r="53" spans="1:56">
      <c r="A53">
        <v>2020000000</v>
      </c>
      <c r="B53" t="s">
        <v>6</v>
      </c>
      <c r="C53">
        <v>2</v>
      </c>
      <c r="D53" t="s">
        <v>73</v>
      </c>
      <c r="E53">
        <v>0</v>
      </c>
      <c r="F53" t="s">
        <v>74</v>
      </c>
      <c r="G53">
        <v>40</v>
      </c>
      <c r="H53" t="s">
        <v>114</v>
      </c>
      <c r="J53">
        <v>77.83681</v>
      </c>
      <c r="K53">
        <v>79.937209999999993</v>
      </c>
      <c r="L53">
        <v>80.902829999999994</v>
      </c>
      <c r="M53">
        <v>77.221140000000005</v>
      </c>
      <c r="N53">
        <v>81.808279999999996</v>
      </c>
      <c r="O53">
        <v>86.398960000000002</v>
      </c>
      <c r="P53">
        <v>80.506720000000001</v>
      </c>
      <c r="Q53">
        <v>78.531999999999996</v>
      </c>
      <c r="R53">
        <v>78.429310000000001</v>
      </c>
      <c r="S53">
        <v>80.940029999999993</v>
      </c>
      <c r="T53">
        <v>77.307329999999993</v>
      </c>
      <c r="U53">
        <v>76.996009999999998</v>
      </c>
      <c r="V53">
        <v>77.57826</v>
      </c>
      <c r="W53">
        <v>75.520290000000003</v>
      </c>
      <c r="X53">
        <v>83.671279999999996</v>
      </c>
      <c r="Y53">
        <v>85.289000000000001</v>
      </c>
      <c r="Z53">
        <v>85.088350000000005</v>
      </c>
      <c r="AA53">
        <v>86.770319999999998</v>
      </c>
      <c r="AB53">
        <v>81.674459999999996</v>
      </c>
      <c r="AC53">
        <v>84.603719999999996</v>
      </c>
      <c r="AD53">
        <v>82.807820000000007</v>
      </c>
      <c r="AE53">
        <v>82.198670000000007</v>
      </c>
      <c r="AF53">
        <v>77.833240000000004</v>
      </c>
      <c r="AG53">
        <v>80.714699999999993</v>
      </c>
      <c r="AH53">
        <v>79.542789999999997</v>
      </c>
      <c r="AI53">
        <v>78.043620000000004</v>
      </c>
      <c r="AJ53">
        <v>75.939750000000004</v>
      </c>
      <c r="AK53">
        <v>76.548310000000001</v>
      </c>
      <c r="AL53">
        <v>75.118679999999998</v>
      </c>
      <c r="AM53">
        <v>77.53922</v>
      </c>
      <c r="AN53">
        <v>84.826809999999995</v>
      </c>
      <c r="AO53">
        <v>86.815749999999994</v>
      </c>
      <c r="AP53">
        <v>80.737520000000004</v>
      </c>
      <c r="AQ53">
        <v>79.288809999999998</v>
      </c>
      <c r="AR53">
        <v>79.682789999999997</v>
      </c>
      <c r="AS53">
        <v>79.203919999999997</v>
      </c>
      <c r="AT53">
        <v>80.417450000000002</v>
      </c>
      <c r="AU53">
        <v>80.593680000000006</v>
      </c>
      <c r="AV53">
        <v>83.533730000000006</v>
      </c>
      <c r="AW53">
        <v>78.562820000000002</v>
      </c>
      <c r="AX53">
        <v>83.193079999999995</v>
      </c>
      <c r="AY53">
        <v>80.331980000000001</v>
      </c>
      <c r="AZ53">
        <v>82.000450000000001</v>
      </c>
      <c r="BA53">
        <v>80.501779999999997</v>
      </c>
      <c r="BB53">
        <v>82.147779999999997</v>
      </c>
      <c r="BC53">
        <v>81.187529999999995</v>
      </c>
      <c r="BD53">
        <v>77.253749999999997</v>
      </c>
    </row>
    <row r="54" spans="1:56">
      <c r="A54">
        <v>2020000000</v>
      </c>
      <c r="B54" t="s">
        <v>6</v>
      </c>
      <c r="C54">
        <v>2</v>
      </c>
      <c r="D54" t="s">
        <v>73</v>
      </c>
      <c r="E54">
        <v>0</v>
      </c>
      <c r="F54" t="s">
        <v>74</v>
      </c>
      <c r="G54">
        <v>41</v>
      </c>
      <c r="H54" t="s">
        <v>115</v>
      </c>
      <c r="J54">
        <v>76.466279999999998</v>
      </c>
      <c r="K54">
        <v>78.616500000000002</v>
      </c>
      <c r="L54">
        <v>81.450379999999996</v>
      </c>
      <c r="M54">
        <v>77.143479999999997</v>
      </c>
      <c r="N54">
        <v>81.048060000000007</v>
      </c>
      <c r="O54">
        <v>84.626869999999997</v>
      </c>
      <c r="P54">
        <v>79.911029999999997</v>
      </c>
      <c r="Q54">
        <v>77.698670000000007</v>
      </c>
      <c r="R54">
        <v>77.846760000000003</v>
      </c>
      <c r="S54">
        <v>80.126540000000006</v>
      </c>
      <c r="T54">
        <v>76.250550000000004</v>
      </c>
      <c r="U54">
        <v>76.096329999999995</v>
      </c>
      <c r="V54">
        <v>76.691569999999999</v>
      </c>
      <c r="W54">
        <v>74.872619999999998</v>
      </c>
      <c r="X54">
        <v>83.611050000000006</v>
      </c>
      <c r="Y54">
        <v>85.019069999999999</v>
      </c>
      <c r="Z54">
        <v>83.493499999999997</v>
      </c>
      <c r="AA54">
        <v>85.907139999999998</v>
      </c>
      <c r="AB54">
        <v>81.951030000000003</v>
      </c>
      <c r="AC54">
        <v>83.246229999999997</v>
      </c>
      <c r="AD54">
        <v>81.985069999999993</v>
      </c>
      <c r="AE54">
        <v>80.94023</v>
      </c>
      <c r="AF54">
        <v>77.236350000000002</v>
      </c>
      <c r="AG54">
        <v>80.084530000000001</v>
      </c>
      <c r="AH54">
        <v>79.156409999999994</v>
      </c>
      <c r="AI54">
        <v>77.145830000000004</v>
      </c>
      <c r="AJ54">
        <v>75.238680000000002</v>
      </c>
      <c r="AK54">
        <v>75.457800000000006</v>
      </c>
      <c r="AL54">
        <v>73.505489999999995</v>
      </c>
      <c r="AM54">
        <v>76.693770000000001</v>
      </c>
      <c r="AN54">
        <v>84.558599999999998</v>
      </c>
      <c r="AO54">
        <v>85.323970000000003</v>
      </c>
      <c r="AP54">
        <v>79.21875</v>
      </c>
      <c r="AQ54">
        <v>78.608969999999999</v>
      </c>
      <c r="AR54">
        <v>79.380560000000003</v>
      </c>
      <c r="AS54">
        <v>78.709680000000006</v>
      </c>
      <c r="AT54">
        <v>79.583830000000006</v>
      </c>
      <c r="AU54">
        <v>78.685299999999998</v>
      </c>
      <c r="AV54">
        <v>83.061570000000003</v>
      </c>
      <c r="AW54">
        <v>77.477509999999995</v>
      </c>
      <c r="AX54">
        <v>82.718249999999998</v>
      </c>
      <c r="AY54">
        <v>79.428309999999996</v>
      </c>
      <c r="AZ54">
        <v>81.61121</v>
      </c>
      <c r="BA54">
        <v>80.736339999999998</v>
      </c>
      <c r="BB54">
        <v>81.815430000000006</v>
      </c>
      <c r="BC54">
        <v>79.463830000000002</v>
      </c>
      <c r="BD54">
        <v>77.570089999999993</v>
      </c>
    </row>
    <row r="55" spans="1:56">
      <c r="A55">
        <v>2020000000</v>
      </c>
      <c r="B55" t="s">
        <v>6</v>
      </c>
      <c r="C55">
        <v>2</v>
      </c>
      <c r="D55" t="s">
        <v>73</v>
      </c>
      <c r="E55">
        <v>0</v>
      </c>
      <c r="F55" t="s">
        <v>74</v>
      </c>
      <c r="G55">
        <v>42</v>
      </c>
      <c r="H55" t="s">
        <v>116</v>
      </c>
      <c r="J55">
        <v>75.227339999999998</v>
      </c>
      <c r="K55">
        <v>77.605950000000007</v>
      </c>
      <c r="L55">
        <v>80.205759999999998</v>
      </c>
      <c r="M55">
        <v>75.351690000000005</v>
      </c>
      <c r="N55">
        <v>80.994979999999998</v>
      </c>
      <c r="O55">
        <v>84.188029999999998</v>
      </c>
      <c r="P55">
        <v>78.392470000000003</v>
      </c>
      <c r="Q55">
        <v>76.175359999999998</v>
      </c>
      <c r="R55">
        <v>77.231129999999993</v>
      </c>
      <c r="S55">
        <v>79.578490000000002</v>
      </c>
      <c r="T55">
        <v>74.425709999999995</v>
      </c>
      <c r="U55">
        <v>75.108819999999994</v>
      </c>
      <c r="V55">
        <v>75.424109999999999</v>
      </c>
      <c r="W55">
        <v>73.348990000000001</v>
      </c>
      <c r="X55">
        <v>82.350319999999996</v>
      </c>
      <c r="Y55">
        <v>83.930030000000002</v>
      </c>
      <c r="Z55">
        <v>82.405180000000001</v>
      </c>
      <c r="AA55">
        <v>84.258870000000002</v>
      </c>
      <c r="AB55">
        <v>80.279269999999997</v>
      </c>
      <c r="AC55">
        <v>82.656530000000004</v>
      </c>
      <c r="AD55">
        <v>80.683679999999995</v>
      </c>
      <c r="AE55">
        <v>79.761369999999999</v>
      </c>
      <c r="AF55">
        <v>76.332629999999995</v>
      </c>
      <c r="AG55">
        <v>79.281769999999995</v>
      </c>
      <c r="AH55">
        <v>77.450980000000001</v>
      </c>
      <c r="AI55">
        <v>76.048320000000004</v>
      </c>
      <c r="AJ55">
        <v>74.052220000000005</v>
      </c>
      <c r="AK55">
        <v>74.316839999999999</v>
      </c>
      <c r="AL55">
        <v>72.159769999999995</v>
      </c>
      <c r="AM55">
        <v>76.027069999999995</v>
      </c>
      <c r="AN55">
        <v>83.520150000000001</v>
      </c>
      <c r="AO55">
        <v>83.743970000000004</v>
      </c>
      <c r="AP55">
        <v>78.258840000000006</v>
      </c>
      <c r="AQ55">
        <v>76.977109999999996</v>
      </c>
      <c r="AR55">
        <v>77.589770000000001</v>
      </c>
      <c r="AS55">
        <v>77.79804</v>
      </c>
      <c r="AT55">
        <v>79.062899999999999</v>
      </c>
      <c r="AU55">
        <v>77.291929999999994</v>
      </c>
      <c r="AV55">
        <v>82.051280000000006</v>
      </c>
      <c r="AW55">
        <v>76.499309999999994</v>
      </c>
      <c r="AX55">
        <v>81.623589999999993</v>
      </c>
      <c r="AY55">
        <v>78.527389999999997</v>
      </c>
      <c r="AZ55">
        <v>80.679150000000007</v>
      </c>
      <c r="BA55">
        <v>79.323369999999997</v>
      </c>
      <c r="BB55">
        <v>81.090739999999997</v>
      </c>
      <c r="BC55">
        <v>78.228970000000004</v>
      </c>
      <c r="BD55">
        <v>75.082740000000001</v>
      </c>
    </row>
    <row r="56" spans="1:56">
      <c r="A56">
        <v>2020000000</v>
      </c>
      <c r="B56" t="s">
        <v>6</v>
      </c>
      <c r="C56">
        <v>2</v>
      </c>
      <c r="D56" t="s">
        <v>73</v>
      </c>
      <c r="E56">
        <v>0</v>
      </c>
      <c r="F56" t="s">
        <v>74</v>
      </c>
      <c r="G56">
        <v>43</v>
      </c>
      <c r="H56" t="s">
        <v>117</v>
      </c>
      <c r="J56">
        <v>73.605180000000004</v>
      </c>
      <c r="K56">
        <v>76.085369999999998</v>
      </c>
      <c r="L56">
        <v>79.013300000000001</v>
      </c>
      <c r="M56">
        <v>73.306179999999998</v>
      </c>
      <c r="N56">
        <v>79.544039999999995</v>
      </c>
      <c r="O56">
        <v>81.830500000000001</v>
      </c>
      <c r="P56">
        <v>77.439400000000006</v>
      </c>
      <c r="Q56">
        <v>75.189809999999994</v>
      </c>
      <c r="R56">
        <v>75.137330000000006</v>
      </c>
      <c r="S56">
        <v>77.781739999999999</v>
      </c>
      <c r="T56">
        <v>73.230500000000006</v>
      </c>
      <c r="U56">
        <v>73.620949999999993</v>
      </c>
      <c r="V56">
        <v>74.186570000000003</v>
      </c>
      <c r="W56">
        <v>71.764979999999994</v>
      </c>
      <c r="X56">
        <v>80.494029999999995</v>
      </c>
      <c r="Y56">
        <v>83.420839999999998</v>
      </c>
      <c r="Z56">
        <v>81.123360000000005</v>
      </c>
      <c r="AA56">
        <v>82.439229999999995</v>
      </c>
      <c r="AB56">
        <v>78.839320000000001</v>
      </c>
      <c r="AC56">
        <v>81.652270000000001</v>
      </c>
      <c r="AD56">
        <v>79.656819999999996</v>
      </c>
      <c r="AE56">
        <v>79.115809999999996</v>
      </c>
      <c r="AF56">
        <v>74.452920000000006</v>
      </c>
      <c r="AG56">
        <v>77.548950000000005</v>
      </c>
      <c r="AH56">
        <v>76.898380000000003</v>
      </c>
      <c r="AI56">
        <v>74.710179999999994</v>
      </c>
      <c r="AJ56">
        <v>72.794479999999993</v>
      </c>
      <c r="AK56">
        <v>72.824150000000003</v>
      </c>
      <c r="AL56">
        <v>70.254990000000006</v>
      </c>
      <c r="AM56">
        <v>74.884789999999995</v>
      </c>
      <c r="AN56">
        <v>82.104619999999997</v>
      </c>
      <c r="AO56">
        <v>82.190740000000005</v>
      </c>
      <c r="AP56">
        <v>77.498769999999993</v>
      </c>
      <c r="AQ56">
        <v>75.217250000000007</v>
      </c>
      <c r="AR56">
        <v>75.006460000000004</v>
      </c>
      <c r="AS56">
        <v>75.359669999999994</v>
      </c>
      <c r="AT56">
        <v>75.857339999999994</v>
      </c>
      <c r="AU56">
        <v>76.146109999999993</v>
      </c>
      <c r="AV56">
        <v>80.188220000000001</v>
      </c>
      <c r="AW56">
        <v>75.263890000000004</v>
      </c>
      <c r="AX56">
        <v>80.912270000000007</v>
      </c>
      <c r="AY56">
        <v>77.031800000000004</v>
      </c>
      <c r="AZ56">
        <v>79.090310000000002</v>
      </c>
      <c r="BA56">
        <v>77.554360000000003</v>
      </c>
      <c r="BB56">
        <v>78.443650000000005</v>
      </c>
      <c r="BC56">
        <v>77.098420000000004</v>
      </c>
      <c r="BD56">
        <v>74.312420000000003</v>
      </c>
    </row>
    <row r="57" spans="1:56">
      <c r="A57">
        <v>2020000000</v>
      </c>
      <c r="B57" t="s">
        <v>6</v>
      </c>
      <c r="C57">
        <v>2</v>
      </c>
      <c r="D57" t="s">
        <v>73</v>
      </c>
      <c r="E57">
        <v>0</v>
      </c>
      <c r="F57" t="s">
        <v>74</v>
      </c>
      <c r="G57">
        <v>44</v>
      </c>
      <c r="H57" t="s">
        <v>118</v>
      </c>
      <c r="J57">
        <v>71.363849999999999</v>
      </c>
      <c r="K57">
        <v>74.097939999999994</v>
      </c>
      <c r="L57">
        <v>78.081320000000005</v>
      </c>
      <c r="M57">
        <v>72.356449999999995</v>
      </c>
      <c r="N57">
        <v>77.972769999999997</v>
      </c>
      <c r="O57">
        <v>80.505210000000005</v>
      </c>
      <c r="P57">
        <v>75.79383</v>
      </c>
      <c r="Q57">
        <v>73.559089999999998</v>
      </c>
      <c r="R57">
        <v>73.839150000000004</v>
      </c>
      <c r="S57">
        <v>75.857349999999997</v>
      </c>
      <c r="T57">
        <v>71.6096</v>
      </c>
      <c r="U57">
        <v>71.897649999999999</v>
      </c>
      <c r="V57">
        <v>72.584869999999995</v>
      </c>
      <c r="W57">
        <v>70.115200000000002</v>
      </c>
      <c r="X57">
        <v>79.401070000000004</v>
      </c>
      <c r="Y57">
        <v>79.381969999999995</v>
      </c>
      <c r="Z57">
        <v>80.202650000000006</v>
      </c>
      <c r="AA57">
        <v>81.593590000000006</v>
      </c>
      <c r="AB57">
        <v>78.514430000000004</v>
      </c>
      <c r="AC57">
        <v>80.581469999999996</v>
      </c>
      <c r="AD57">
        <v>78.174160000000001</v>
      </c>
      <c r="AE57">
        <v>77.904070000000004</v>
      </c>
      <c r="AF57">
        <v>73.49033</v>
      </c>
      <c r="AG57">
        <v>75.85915</v>
      </c>
      <c r="AH57">
        <v>75.136650000000003</v>
      </c>
      <c r="AI57">
        <v>73.054029999999997</v>
      </c>
      <c r="AJ57">
        <v>71.057879999999997</v>
      </c>
      <c r="AK57">
        <v>70.879620000000003</v>
      </c>
      <c r="AL57">
        <v>68.75</v>
      </c>
      <c r="AM57">
        <v>72.492500000000007</v>
      </c>
      <c r="AN57">
        <v>79.798850000000002</v>
      </c>
      <c r="AO57">
        <v>81.744630000000001</v>
      </c>
      <c r="AP57">
        <v>76.181659999999994</v>
      </c>
      <c r="AQ57">
        <v>74.374319999999997</v>
      </c>
      <c r="AR57">
        <v>73.746920000000003</v>
      </c>
      <c r="AS57">
        <v>74.271730000000005</v>
      </c>
      <c r="AT57">
        <v>74.727549999999994</v>
      </c>
      <c r="AU57">
        <v>74.422049999999999</v>
      </c>
      <c r="AV57">
        <v>77.996020000000001</v>
      </c>
      <c r="AW57">
        <v>73.200249999999997</v>
      </c>
      <c r="AX57">
        <v>79.196640000000002</v>
      </c>
      <c r="AY57">
        <v>75.343279999999993</v>
      </c>
      <c r="AZ57">
        <v>78.469120000000004</v>
      </c>
      <c r="BA57">
        <v>75.385310000000004</v>
      </c>
      <c r="BB57">
        <v>77.478859999999997</v>
      </c>
      <c r="BC57">
        <v>75.555999999999997</v>
      </c>
      <c r="BD57">
        <v>73.097530000000006</v>
      </c>
    </row>
    <row r="58" spans="1:56">
      <c r="A58">
        <v>2020000000</v>
      </c>
      <c r="B58" t="s">
        <v>6</v>
      </c>
      <c r="C58">
        <v>2</v>
      </c>
      <c r="D58" t="s">
        <v>73</v>
      </c>
      <c r="E58">
        <v>0</v>
      </c>
      <c r="F58" t="s">
        <v>74</v>
      </c>
      <c r="G58">
        <v>45</v>
      </c>
      <c r="H58" t="s">
        <v>119</v>
      </c>
      <c r="J58">
        <v>69.540279999999996</v>
      </c>
      <c r="K58">
        <v>72.475809999999996</v>
      </c>
      <c r="L58">
        <v>75.989819999999995</v>
      </c>
      <c r="M58">
        <v>70.323530000000005</v>
      </c>
      <c r="N58">
        <v>76.196830000000006</v>
      </c>
      <c r="O58">
        <v>79.051270000000002</v>
      </c>
      <c r="P58">
        <v>74.299850000000006</v>
      </c>
      <c r="Q58">
        <v>71.464070000000007</v>
      </c>
      <c r="R58">
        <v>71.323390000000003</v>
      </c>
      <c r="S58">
        <v>74.699669999999998</v>
      </c>
      <c r="T58">
        <v>69.539029999999997</v>
      </c>
      <c r="U58">
        <v>69.947829999999996</v>
      </c>
      <c r="V58">
        <v>70.919719999999998</v>
      </c>
      <c r="W58">
        <v>68.541790000000006</v>
      </c>
      <c r="X58">
        <v>77.143929999999997</v>
      </c>
      <c r="Y58">
        <v>79.594170000000005</v>
      </c>
      <c r="Z58">
        <v>78.671660000000003</v>
      </c>
      <c r="AA58">
        <v>79.433080000000004</v>
      </c>
      <c r="AB58">
        <v>77.135429999999999</v>
      </c>
      <c r="AC58">
        <v>78.596260000000001</v>
      </c>
      <c r="AD58">
        <v>75.682280000000006</v>
      </c>
      <c r="AE58">
        <v>75.68092</v>
      </c>
      <c r="AF58">
        <v>71.808220000000006</v>
      </c>
      <c r="AG58">
        <v>73.965010000000007</v>
      </c>
      <c r="AH58">
        <v>72.856039999999993</v>
      </c>
      <c r="AI58">
        <v>72.367919999999998</v>
      </c>
      <c r="AJ58">
        <v>69.003270000000001</v>
      </c>
      <c r="AK58">
        <v>69.46705</v>
      </c>
      <c r="AL58">
        <v>65.977130000000002</v>
      </c>
      <c r="AM58">
        <v>70.174239999999998</v>
      </c>
      <c r="AN58">
        <v>78.225319999999996</v>
      </c>
      <c r="AO58">
        <v>80.736469999999997</v>
      </c>
      <c r="AP58">
        <v>73.224419999999995</v>
      </c>
      <c r="AQ58">
        <v>72.777780000000007</v>
      </c>
      <c r="AR58">
        <v>72.19238</v>
      </c>
      <c r="AS58">
        <v>72.716650000000001</v>
      </c>
      <c r="AT58">
        <v>74.506010000000003</v>
      </c>
      <c r="AU58">
        <v>72.093019999999996</v>
      </c>
      <c r="AV58">
        <v>76.264399999999995</v>
      </c>
      <c r="AW58">
        <v>71.353480000000005</v>
      </c>
      <c r="AX58">
        <v>77.147300000000001</v>
      </c>
      <c r="AY58">
        <v>74.100390000000004</v>
      </c>
      <c r="AZ58">
        <v>75.038839999999993</v>
      </c>
      <c r="BA58">
        <v>74.300250000000005</v>
      </c>
      <c r="BB58">
        <v>76.062640000000002</v>
      </c>
      <c r="BC58">
        <v>73.825699999999998</v>
      </c>
      <c r="BD58">
        <v>72.293679999999995</v>
      </c>
    </row>
    <row r="59" spans="1:56">
      <c r="A59">
        <v>2020000000</v>
      </c>
      <c r="B59" t="s">
        <v>6</v>
      </c>
      <c r="C59">
        <v>2</v>
      </c>
      <c r="D59" t="s">
        <v>73</v>
      </c>
      <c r="E59">
        <v>0</v>
      </c>
      <c r="F59" t="s">
        <v>74</v>
      </c>
      <c r="G59">
        <v>46</v>
      </c>
      <c r="H59" t="s">
        <v>120</v>
      </c>
      <c r="J59">
        <v>66.444609999999997</v>
      </c>
      <c r="K59">
        <v>68.224509999999995</v>
      </c>
      <c r="L59">
        <v>72.059539999999998</v>
      </c>
      <c r="M59">
        <v>67.256960000000007</v>
      </c>
      <c r="N59">
        <v>72.904039999999995</v>
      </c>
      <c r="O59">
        <v>75.770210000000006</v>
      </c>
      <c r="P59">
        <v>69.832490000000007</v>
      </c>
      <c r="Q59">
        <v>68.331620000000001</v>
      </c>
      <c r="R59">
        <v>69.027720000000002</v>
      </c>
      <c r="S59">
        <v>70.998059999999995</v>
      </c>
      <c r="T59">
        <v>66.392349999999993</v>
      </c>
      <c r="U59">
        <v>67.300389999999993</v>
      </c>
      <c r="V59">
        <v>67.816329999999994</v>
      </c>
      <c r="W59">
        <v>65.32526</v>
      </c>
      <c r="X59">
        <v>72.434380000000004</v>
      </c>
      <c r="Y59">
        <v>75.65531</v>
      </c>
      <c r="Z59">
        <v>74.152150000000006</v>
      </c>
      <c r="AA59">
        <v>75.900570000000002</v>
      </c>
      <c r="AB59">
        <v>73.901489999999995</v>
      </c>
      <c r="AC59">
        <v>76.068169999999995</v>
      </c>
      <c r="AD59">
        <v>73.756839999999997</v>
      </c>
      <c r="AE59">
        <v>73.296239999999997</v>
      </c>
      <c r="AF59">
        <v>68.7547</v>
      </c>
      <c r="AG59">
        <v>71.066779999999994</v>
      </c>
      <c r="AH59">
        <v>69.69117</v>
      </c>
      <c r="AI59">
        <v>68.701480000000004</v>
      </c>
      <c r="AJ59">
        <v>66.266189999999995</v>
      </c>
      <c r="AK59">
        <v>66.177800000000005</v>
      </c>
      <c r="AL59">
        <v>62.474800000000002</v>
      </c>
      <c r="AM59">
        <v>68.58569</v>
      </c>
      <c r="AN59">
        <v>75.83099</v>
      </c>
      <c r="AO59">
        <v>76.233829999999998</v>
      </c>
      <c r="AP59">
        <v>69.799679999999995</v>
      </c>
      <c r="AQ59">
        <v>69.800970000000007</v>
      </c>
      <c r="AR59">
        <v>68.811760000000007</v>
      </c>
      <c r="AS59">
        <v>67.509900000000002</v>
      </c>
      <c r="AT59">
        <v>70.106700000000004</v>
      </c>
      <c r="AU59">
        <v>69.811089999999993</v>
      </c>
      <c r="AV59">
        <v>73.817329999999998</v>
      </c>
      <c r="AW59">
        <v>68.076639999999998</v>
      </c>
      <c r="AX59">
        <v>75.614329999999995</v>
      </c>
      <c r="AY59">
        <v>69.727230000000006</v>
      </c>
      <c r="AZ59">
        <v>72.375640000000004</v>
      </c>
      <c r="BA59">
        <v>70.979069999999993</v>
      </c>
      <c r="BB59">
        <v>72.898780000000002</v>
      </c>
      <c r="BC59">
        <v>72.041039999999995</v>
      </c>
      <c r="BD59">
        <v>67.504009999999994</v>
      </c>
    </row>
    <row r="60" spans="1:56">
      <c r="A60">
        <v>2020000000</v>
      </c>
      <c r="B60" t="s">
        <v>6</v>
      </c>
      <c r="C60">
        <v>2</v>
      </c>
      <c r="D60" t="s">
        <v>73</v>
      </c>
      <c r="E60">
        <v>0</v>
      </c>
      <c r="F60" t="s">
        <v>74</v>
      </c>
      <c r="G60">
        <v>47</v>
      </c>
      <c r="H60" t="s">
        <v>121</v>
      </c>
      <c r="J60">
        <v>62.583820000000003</v>
      </c>
      <c r="K60">
        <v>65.152969999999996</v>
      </c>
      <c r="L60">
        <v>69.390860000000004</v>
      </c>
      <c r="M60">
        <v>62.638289999999998</v>
      </c>
      <c r="N60">
        <v>68.298339999999996</v>
      </c>
      <c r="O60">
        <v>71.349059999999994</v>
      </c>
      <c r="P60">
        <v>66.448560000000001</v>
      </c>
      <c r="Q60">
        <v>64.983220000000003</v>
      </c>
      <c r="R60">
        <v>65.785539999999997</v>
      </c>
      <c r="S60">
        <v>67.672070000000005</v>
      </c>
      <c r="T60">
        <v>63.328699999999998</v>
      </c>
      <c r="U60">
        <v>63.477809999999998</v>
      </c>
      <c r="V60">
        <v>65.290800000000004</v>
      </c>
      <c r="W60">
        <v>62.123660000000001</v>
      </c>
      <c r="X60">
        <v>68.151650000000004</v>
      </c>
      <c r="Y60">
        <v>70.431309999999996</v>
      </c>
      <c r="Z60">
        <v>70.963409999999996</v>
      </c>
      <c r="AA60">
        <v>73.872990000000001</v>
      </c>
      <c r="AB60">
        <v>70.776529999999994</v>
      </c>
      <c r="AC60">
        <v>73.2102</v>
      </c>
      <c r="AD60">
        <v>69.788219999999995</v>
      </c>
      <c r="AE60">
        <v>69.092299999999994</v>
      </c>
      <c r="AF60">
        <v>65.340860000000006</v>
      </c>
      <c r="AG60">
        <v>66.895849999999996</v>
      </c>
      <c r="AH60">
        <v>66.504980000000003</v>
      </c>
      <c r="AI60">
        <v>65.703000000000003</v>
      </c>
      <c r="AJ60">
        <v>62.895600000000002</v>
      </c>
      <c r="AK60">
        <v>62.839030000000001</v>
      </c>
      <c r="AL60">
        <v>58.904429999999998</v>
      </c>
      <c r="AM60">
        <v>63.541330000000002</v>
      </c>
      <c r="AN60">
        <v>70.865070000000003</v>
      </c>
      <c r="AO60">
        <v>73.219309999999993</v>
      </c>
      <c r="AP60">
        <v>65.772419999999997</v>
      </c>
      <c r="AQ60">
        <v>65.856369999999998</v>
      </c>
      <c r="AR60">
        <v>64.912480000000002</v>
      </c>
      <c r="AS60">
        <v>64.171449999999993</v>
      </c>
      <c r="AT60">
        <v>66.583709999999996</v>
      </c>
      <c r="AU60">
        <v>65.744919999999993</v>
      </c>
      <c r="AV60">
        <v>68.83175</v>
      </c>
      <c r="AW60">
        <v>64.449719999999999</v>
      </c>
      <c r="AX60">
        <v>69.835009999999997</v>
      </c>
      <c r="AY60">
        <v>66.663070000000005</v>
      </c>
      <c r="AZ60">
        <v>68.819820000000007</v>
      </c>
      <c r="BA60">
        <v>67.074439999999996</v>
      </c>
      <c r="BB60">
        <v>69.28904</v>
      </c>
      <c r="BC60">
        <v>68.516050000000007</v>
      </c>
      <c r="BD60">
        <v>65.551079999999999</v>
      </c>
    </row>
    <row r="61" spans="1:56">
      <c r="A61">
        <v>2020000000</v>
      </c>
      <c r="B61" t="s">
        <v>6</v>
      </c>
      <c r="C61">
        <v>2</v>
      </c>
      <c r="D61" t="s">
        <v>73</v>
      </c>
      <c r="E61">
        <v>0</v>
      </c>
      <c r="F61" t="s">
        <v>74</v>
      </c>
      <c r="G61">
        <v>48</v>
      </c>
      <c r="H61" t="s">
        <v>122</v>
      </c>
      <c r="J61">
        <v>59.787320000000001</v>
      </c>
      <c r="K61">
        <v>60.896880000000003</v>
      </c>
      <c r="L61">
        <v>65.532610000000005</v>
      </c>
      <c r="M61">
        <v>59.435560000000002</v>
      </c>
      <c r="N61">
        <v>65.012910000000005</v>
      </c>
      <c r="O61">
        <v>68.533510000000007</v>
      </c>
      <c r="P61">
        <v>62.984929999999999</v>
      </c>
      <c r="Q61">
        <v>61.806510000000003</v>
      </c>
      <c r="R61">
        <v>63.267580000000002</v>
      </c>
      <c r="S61">
        <v>64.12379</v>
      </c>
      <c r="T61">
        <v>59.930059999999997</v>
      </c>
      <c r="U61">
        <v>60.714619999999996</v>
      </c>
      <c r="V61">
        <v>62.65222</v>
      </c>
      <c r="W61">
        <v>59.542549999999999</v>
      </c>
      <c r="X61">
        <v>63.913170000000001</v>
      </c>
      <c r="Y61">
        <v>68.247820000000004</v>
      </c>
      <c r="Z61">
        <v>67.465699999999998</v>
      </c>
      <c r="AA61">
        <v>70.135279999999995</v>
      </c>
      <c r="AB61">
        <v>68.392859999999999</v>
      </c>
      <c r="AC61">
        <v>70.912610000000001</v>
      </c>
      <c r="AD61">
        <v>67.442639999999997</v>
      </c>
      <c r="AE61">
        <v>66.36591</v>
      </c>
      <c r="AF61">
        <v>63.016359999999999</v>
      </c>
      <c r="AG61">
        <v>64.994739999999993</v>
      </c>
      <c r="AH61">
        <v>63.273940000000003</v>
      </c>
      <c r="AI61">
        <v>62.730370000000001</v>
      </c>
      <c r="AJ61">
        <v>59.851010000000002</v>
      </c>
      <c r="AK61">
        <v>59.27505</v>
      </c>
      <c r="AL61">
        <v>55.978670000000001</v>
      </c>
      <c r="AM61">
        <v>61.115740000000002</v>
      </c>
      <c r="AN61">
        <v>67.389470000000003</v>
      </c>
      <c r="AO61">
        <v>70.20532</v>
      </c>
      <c r="AP61">
        <v>64.151979999999995</v>
      </c>
      <c r="AQ61">
        <v>62.100169999999999</v>
      </c>
      <c r="AR61">
        <v>61.90531</v>
      </c>
      <c r="AS61">
        <v>61.378880000000002</v>
      </c>
      <c r="AT61">
        <v>62.060130000000001</v>
      </c>
      <c r="AU61">
        <v>62.580869999999997</v>
      </c>
      <c r="AV61">
        <v>65.32114</v>
      </c>
      <c r="AW61">
        <v>61.660870000000003</v>
      </c>
      <c r="AX61">
        <v>68.270619999999994</v>
      </c>
      <c r="AY61">
        <v>63.746729999999999</v>
      </c>
      <c r="AZ61">
        <v>66.321910000000003</v>
      </c>
      <c r="BA61">
        <v>63.186219999999999</v>
      </c>
      <c r="BB61">
        <v>66.785520000000005</v>
      </c>
      <c r="BC61">
        <v>65.12276</v>
      </c>
      <c r="BD61">
        <v>62.49521</v>
      </c>
    </row>
    <row r="62" spans="1:56">
      <c r="A62">
        <v>2020000000</v>
      </c>
      <c r="B62" t="s">
        <v>6</v>
      </c>
      <c r="C62">
        <v>2</v>
      </c>
      <c r="D62" t="s">
        <v>73</v>
      </c>
      <c r="E62">
        <v>0</v>
      </c>
      <c r="F62" t="s">
        <v>74</v>
      </c>
      <c r="G62">
        <v>49</v>
      </c>
      <c r="H62" t="s">
        <v>123</v>
      </c>
      <c r="J62">
        <v>56.130780000000001</v>
      </c>
      <c r="K62">
        <v>57.264099999999999</v>
      </c>
      <c r="L62">
        <v>62.340009999999999</v>
      </c>
      <c r="M62">
        <v>55.584429999999998</v>
      </c>
      <c r="N62">
        <v>59.976030000000002</v>
      </c>
      <c r="O62">
        <v>63.142240000000001</v>
      </c>
      <c r="P62">
        <v>58.944940000000003</v>
      </c>
      <c r="Q62">
        <v>58.049199999999999</v>
      </c>
      <c r="R62">
        <v>59.469990000000003</v>
      </c>
      <c r="S62">
        <v>61.691499999999998</v>
      </c>
      <c r="T62">
        <v>56.124130000000001</v>
      </c>
      <c r="U62">
        <v>57.367849999999997</v>
      </c>
      <c r="V62">
        <v>59.576390000000004</v>
      </c>
      <c r="W62">
        <v>55.49859</v>
      </c>
      <c r="X62">
        <v>59.404829999999997</v>
      </c>
      <c r="Y62">
        <v>63.514629999999997</v>
      </c>
      <c r="Z62">
        <v>63.330199999999998</v>
      </c>
      <c r="AA62">
        <v>63.926740000000002</v>
      </c>
      <c r="AB62">
        <v>64.165509999999998</v>
      </c>
      <c r="AC62">
        <v>66.909909999999996</v>
      </c>
      <c r="AD62">
        <v>62.952449999999999</v>
      </c>
      <c r="AE62">
        <v>62.699010000000001</v>
      </c>
      <c r="AF62">
        <v>59.833399999999997</v>
      </c>
      <c r="AG62">
        <v>59.759349999999998</v>
      </c>
      <c r="AH62">
        <v>58.947369999999999</v>
      </c>
      <c r="AI62">
        <v>58.540669999999999</v>
      </c>
      <c r="AJ62">
        <v>56.053959999999996</v>
      </c>
      <c r="AK62">
        <v>55.691940000000002</v>
      </c>
      <c r="AL62">
        <v>51.919840000000001</v>
      </c>
      <c r="AM62">
        <v>56.460329999999999</v>
      </c>
      <c r="AN62">
        <v>64.712100000000007</v>
      </c>
      <c r="AO62">
        <v>66.181309999999996</v>
      </c>
      <c r="AP62">
        <v>59.213389999999997</v>
      </c>
      <c r="AQ62">
        <v>58.60613</v>
      </c>
      <c r="AR62">
        <v>58.224359999999997</v>
      </c>
      <c r="AS62">
        <v>57.455950000000001</v>
      </c>
      <c r="AT62">
        <v>57.85971</v>
      </c>
      <c r="AU62">
        <v>58.041060000000002</v>
      </c>
      <c r="AV62">
        <v>62.827100000000002</v>
      </c>
      <c r="AW62">
        <v>57.535159999999998</v>
      </c>
      <c r="AX62">
        <v>65.108860000000007</v>
      </c>
      <c r="AY62">
        <v>59.907470000000004</v>
      </c>
      <c r="AZ62">
        <v>61.810789999999997</v>
      </c>
      <c r="BA62">
        <v>59.871130000000001</v>
      </c>
      <c r="BB62">
        <v>63.079160000000002</v>
      </c>
      <c r="BC62">
        <v>62.038139999999999</v>
      </c>
      <c r="BD62">
        <v>58.264949999999999</v>
      </c>
    </row>
    <row r="63" spans="1:56">
      <c r="A63">
        <v>2020000000</v>
      </c>
      <c r="B63" t="s">
        <v>6</v>
      </c>
      <c r="C63">
        <v>2</v>
      </c>
      <c r="D63" t="s">
        <v>73</v>
      </c>
      <c r="E63">
        <v>0</v>
      </c>
      <c r="F63" t="s">
        <v>74</v>
      </c>
      <c r="G63">
        <v>50</v>
      </c>
      <c r="H63" t="s">
        <v>124</v>
      </c>
      <c r="J63">
        <v>51.90475</v>
      </c>
      <c r="K63">
        <v>55.1389</v>
      </c>
      <c r="L63">
        <v>57.324840000000002</v>
      </c>
      <c r="M63">
        <v>51.800800000000002</v>
      </c>
      <c r="N63">
        <v>56.529159999999997</v>
      </c>
      <c r="O63">
        <v>59.679040000000001</v>
      </c>
      <c r="P63">
        <v>54.808880000000002</v>
      </c>
      <c r="Q63">
        <v>53.900359999999999</v>
      </c>
      <c r="R63">
        <v>55.24194</v>
      </c>
      <c r="S63">
        <v>57.245049999999999</v>
      </c>
      <c r="T63">
        <v>52.474049999999998</v>
      </c>
      <c r="U63">
        <v>53.29195</v>
      </c>
      <c r="V63">
        <v>56.325580000000002</v>
      </c>
      <c r="W63">
        <v>52.426430000000003</v>
      </c>
      <c r="X63">
        <v>55.837220000000002</v>
      </c>
      <c r="Y63">
        <v>57.937390000000001</v>
      </c>
      <c r="Z63">
        <v>58.83229</v>
      </c>
      <c r="AA63">
        <v>61.372509999999998</v>
      </c>
      <c r="AB63">
        <v>59.404269999999997</v>
      </c>
      <c r="AC63">
        <v>63.312040000000003</v>
      </c>
      <c r="AD63">
        <v>59.586730000000003</v>
      </c>
      <c r="AE63">
        <v>58.858849999999997</v>
      </c>
      <c r="AF63">
        <v>55.573770000000003</v>
      </c>
      <c r="AG63">
        <v>55.518180000000001</v>
      </c>
      <c r="AH63">
        <v>55.499749999999999</v>
      </c>
      <c r="AI63">
        <v>55.26276</v>
      </c>
      <c r="AJ63">
        <v>52.10528</v>
      </c>
      <c r="AK63">
        <v>51.014339999999997</v>
      </c>
      <c r="AL63">
        <v>46.715940000000003</v>
      </c>
      <c r="AM63">
        <v>53.070390000000003</v>
      </c>
      <c r="AN63">
        <v>58.853499999999997</v>
      </c>
      <c r="AO63">
        <v>61.896279999999997</v>
      </c>
      <c r="AP63">
        <v>55.386409999999998</v>
      </c>
      <c r="AQ63">
        <v>55.063099999999999</v>
      </c>
      <c r="AR63">
        <v>54.280729999999998</v>
      </c>
      <c r="AS63">
        <v>52.854619999999997</v>
      </c>
      <c r="AT63">
        <v>53.768349999999998</v>
      </c>
      <c r="AU63">
        <v>55.662889999999997</v>
      </c>
      <c r="AV63">
        <v>58.210920000000002</v>
      </c>
      <c r="AW63">
        <v>54.148409999999998</v>
      </c>
      <c r="AX63">
        <v>62.139850000000003</v>
      </c>
      <c r="AY63">
        <v>55.805889999999998</v>
      </c>
      <c r="AZ63">
        <v>58.622369999999997</v>
      </c>
      <c r="BA63">
        <v>56.337679999999999</v>
      </c>
      <c r="BB63">
        <v>59.415709999999997</v>
      </c>
      <c r="BC63">
        <v>58.5809</v>
      </c>
      <c r="BD63">
        <v>54.487830000000002</v>
      </c>
    </row>
    <row r="64" spans="1:56">
      <c r="A64">
        <v>2020000000</v>
      </c>
      <c r="B64" t="s">
        <v>6</v>
      </c>
      <c r="C64">
        <v>2</v>
      </c>
      <c r="D64" t="s">
        <v>73</v>
      </c>
      <c r="E64">
        <v>0</v>
      </c>
      <c r="F64" t="s">
        <v>74</v>
      </c>
      <c r="G64">
        <v>51</v>
      </c>
      <c r="H64" t="s">
        <v>125</v>
      </c>
      <c r="J64">
        <v>46.181620000000002</v>
      </c>
      <c r="K64">
        <v>48.623579999999997</v>
      </c>
      <c r="L64">
        <v>51.344610000000003</v>
      </c>
      <c r="M64">
        <v>44.627290000000002</v>
      </c>
      <c r="N64">
        <v>50.60445</v>
      </c>
      <c r="O64">
        <v>53.501919999999998</v>
      </c>
      <c r="P64">
        <v>48.701770000000003</v>
      </c>
      <c r="Q64">
        <v>47.98442</v>
      </c>
      <c r="R64">
        <v>49.71022</v>
      </c>
      <c r="S64">
        <v>50.571129999999997</v>
      </c>
      <c r="T64">
        <v>45.934899999999999</v>
      </c>
      <c r="U64">
        <v>46.15737</v>
      </c>
      <c r="V64">
        <v>50.579149999999998</v>
      </c>
      <c r="W64">
        <v>45.763280000000002</v>
      </c>
      <c r="X64">
        <v>47.879130000000004</v>
      </c>
      <c r="Y64">
        <v>52.838799999999999</v>
      </c>
      <c r="Z64">
        <v>51.988109999999999</v>
      </c>
      <c r="AA64">
        <v>55.607390000000002</v>
      </c>
      <c r="AB64">
        <v>55.270659999999999</v>
      </c>
      <c r="AC64">
        <v>55.893740000000001</v>
      </c>
      <c r="AD64">
        <v>53.065770000000001</v>
      </c>
      <c r="AE64">
        <v>52.090069999999997</v>
      </c>
      <c r="AF64">
        <v>49.953919999999997</v>
      </c>
      <c r="AG64">
        <v>49.755330000000001</v>
      </c>
      <c r="AH64">
        <v>47.331229999999998</v>
      </c>
      <c r="AI64">
        <v>48.753909999999998</v>
      </c>
      <c r="AJ64">
        <v>45.764879999999998</v>
      </c>
      <c r="AK64">
        <v>44.831060000000001</v>
      </c>
      <c r="AL64">
        <v>41.439030000000002</v>
      </c>
      <c r="AM64">
        <v>47.812750000000001</v>
      </c>
      <c r="AN64">
        <v>52.826410000000003</v>
      </c>
      <c r="AO64">
        <v>54.796930000000003</v>
      </c>
      <c r="AP64">
        <v>48.927309999999999</v>
      </c>
      <c r="AQ64">
        <v>48.698270000000001</v>
      </c>
      <c r="AR64">
        <v>48.490459999999999</v>
      </c>
      <c r="AS64">
        <v>46.453429999999997</v>
      </c>
      <c r="AT64">
        <v>47.297519999999999</v>
      </c>
      <c r="AU64">
        <v>48.955289999999998</v>
      </c>
      <c r="AV64">
        <v>53.266120000000001</v>
      </c>
      <c r="AW64">
        <v>47.404899999999998</v>
      </c>
      <c r="AX64">
        <v>54.588389999999997</v>
      </c>
      <c r="AY64">
        <v>49.812510000000003</v>
      </c>
      <c r="AZ64">
        <v>52.365699999999997</v>
      </c>
      <c r="BA64">
        <v>49.524520000000003</v>
      </c>
      <c r="BB64">
        <v>53.593710000000002</v>
      </c>
      <c r="BC64">
        <v>52.37979</v>
      </c>
      <c r="BD64">
        <v>48.827399999999997</v>
      </c>
    </row>
    <row r="65" spans="1:56">
      <c r="A65">
        <v>2020000000</v>
      </c>
      <c r="B65" t="s">
        <v>6</v>
      </c>
      <c r="C65">
        <v>2</v>
      </c>
      <c r="D65" t="s">
        <v>73</v>
      </c>
      <c r="E65">
        <v>0</v>
      </c>
      <c r="F65" t="s">
        <v>74</v>
      </c>
      <c r="G65">
        <v>52</v>
      </c>
      <c r="H65" t="s">
        <v>126</v>
      </c>
      <c r="J65">
        <v>42.071420000000003</v>
      </c>
      <c r="K65">
        <v>43.910130000000002</v>
      </c>
      <c r="L65">
        <v>47.349550000000001</v>
      </c>
      <c r="M65">
        <v>40.734310000000001</v>
      </c>
      <c r="N65">
        <v>45.805979999999998</v>
      </c>
      <c r="O65">
        <v>49.012549999999997</v>
      </c>
      <c r="P65">
        <v>44.330440000000003</v>
      </c>
      <c r="Q65">
        <v>43.580069999999999</v>
      </c>
      <c r="R65">
        <v>44.44614</v>
      </c>
      <c r="S65">
        <v>46.224890000000002</v>
      </c>
      <c r="T65">
        <v>41.831299999999999</v>
      </c>
      <c r="U65">
        <v>42.262230000000002</v>
      </c>
      <c r="V65">
        <v>46.684469999999997</v>
      </c>
      <c r="W65">
        <v>41.250970000000002</v>
      </c>
      <c r="X65">
        <v>44.318109999999997</v>
      </c>
      <c r="Y65">
        <v>48.411630000000002</v>
      </c>
      <c r="Z65">
        <v>48.227649999999997</v>
      </c>
      <c r="AA65">
        <v>49.897199999999998</v>
      </c>
      <c r="AB65">
        <v>50.506349999999998</v>
      </c>
      <c r="AC65">
        <v>52.136290000000002</v>
      </c>
      <c r="AD65">
        <v>49.056310000000003</v>
      </c>
      <c r="AE65">
        <v>48.698079999999997</v>
      </c>
      <c r="AF65">
        <v>45.527369999999998</v>
      </c>
      <c r="AG65">
        <v>46.147440000000003</v>
      </c>
      <c r="AH65">
        <v>43.002510000000001</v>
      </c>
      <c r="AI65">
        <v>44.332659999999997</v>
      </c>
      <c r="AJ65">
        <v>41.487079999999999</v>
      </c>
      <c r="AK65">
        <v>40.819580000000002</v>
      </c>
      <c r="AL65">
        <v>37.228540000000002</v>
      </c>
      <c r="AM65">
        <v>44.403930000000003</v>
      </c>
      <c r="AN65">
        <v>49.030119999999997</v>
      </c>
      <c r="AO65">
        <v>49.752850000000002</v>
      </c>
      <c r="AP65">
        <v>44.712240000000001</v>
      </c>
      <c r="AQ65">
        <v>43.733400000000003</v>
      </c>
      <c r="AR65">
        <v>43.727710000000002</v>
      </c>
      <c r="AS65">
        <v>44.207320000000003</v>
      </c>
      <c r="AT65">
        <v>42.839829999999999</v>
      </c>
      <c r="AU65">
        <v>44.46537</v>
      </c>
      <c r="AV65">
        <v>49.237200000000001</v>
      </c>
      <c r="AW65">
        <v>43.77131</v>
      </c>
      <c r="AX65">
        <v>49.696660000000001</v>
      </c>
      <c r="AY65">
        <v>45.107860000000002</v>
      </c>
      <c r="AZ65">
        <v>48.341529999999999</v>
      </c>
      <c r="BA65">
        <v>45.72242</v>
      </c>
      <c r="BB65">
        <v>48.791800000000002</v>
      </c>
      <c r="BC65">
        <v>48.674109999999999</v>
      </c>
      <c r="BD65">
        <v>43.29025</v>
      </c>
    </row>
    <row r="66" spans="1:56">
      <c r="A66">
        <v>2020000000</v>
      </c>
      <c r="B66" t="s">
        <v>6</v>
      </c>
      <c r="C66">
        <v>2</v>
      </c>
      <c r="D66" t="s">
        <v>73</v>
      </c>
      <c r="E66">
        <v>0</v>
      </c>
      <c r="F66" t="s">
        <v>74</v>
      </c>
      <c r="G66">
        <v>53</v>
      </c>
      <c r="H66" t="s">
        <v>127</v>
      </c>
      <c r="J66">
        <v>38.61609</v>
      </c>
      <c r="K66">
        <v>41.474350000000001</v>
      </c>
      <c r="L66">
        <v>44.078539999999997</v>
      </c>
      <c r="M66">
        <v>37.704090000000001</v>
      </c>
      <c r="N66">
        <v>42.52496</v>
      </c>
      <c r="O66">
        <v>45.233080000000001</v>
      </c>
      <c r="P66">
        <v>41.110709999999997</v>
      </c>
      <c r="Q66">
        <v>40.61253</v>
      </c>
      <c r="R66">
        <v>42.710940000000001</v>
      </c>
      <c r="S66">
        <v>43.453479999999999</v>
      </c>
      <c r="T66">
        <v>38.450229999999998</v>
      </c>
      <c r="U66">
        <v>39.341030000000003</v>
      </c>
      <c r="V66">
        <v>43.161430000000003</v>
      </c>
      <c r="W66">
        <v>37.990400000000001</v>
      </c>
      <c r="X66">
        <v>40.50273</v>
      </c>
      <c r="Y66">
        <v>44.887540000000001</v>
      </c>
      <c r="Z66">
        <v>45.56823</v>
      </c>
      <c r="AA66">
        <v>48.838979999999999</v>
      </c>
      <c r="AB66">
        <v>46.688499999999998</v>
      </c>
      <c r="AC66">
        <v>49.094329999999999</v>
      </c>
      <c r="AD66">
        <v>45.390329999999999</v>
      </c>
      <c r="AE66">
        <v>45.436140000000002</v>
      </c>
      <c r="AF66">
        <v>42.426400000000001</v>
      </c>
      <c r="AG66">
        <v>43.398949999999999</v>
      </c>
      <c r="AH66">
        <v>40.94415</v>
      </c>
      <c r="AI66">
        <v>40.800109999999997</v>
      </c>
      <c r="AJ66">
        <v>38.437109999999997</v>
      </c>
      <c r="AK66">
        <v>36.613849999999999</v>
      </c>
      <c r="AL66">
        <v>33.659489999999998</v>
      </c>
      <c r="AM66">
        <v>41.787939999999999</v>
      </c>
      <c r="AN66">
        <v>45.036140000000003</v>
      </c>
      <c r="AO66">
        <v>47.626869999999997</v>
      </c>
      <c r="AP66">
        <v>41.737310000000001</v>
      </c>
      <c r="AQ66">
        <v>39.945500000000003</v>
      </c>
      <c r="AR66">
        <v>41.005710000000001</v>
      </c>
      <c r="AS66">
        <v>39.294199999999996</v>
      </c>
      <c r="AT66">
        <v>41.42512</v>
      </c>
      <c r="AU66">
        <v>40.688090000000003</v>
      </c>
      <c r="AV66">
        <v>45.737349999999999</v>
      </c>
      <c r="AW66">
        <v>40.566589999999998</v>
      </c>
      <c r="AX66">
        <v>47.62133</v>
      </c>
      <c r="AY66">
        <v>40.794220000000003</v>
      </c>
      <c r="AZ66">
        <v>44.38176</v>
      </c>
      <c r="BA66">
        <v>42.278309999999998</v>
      </c>
      <c r="BB66">
        <v>46.643410000000003</v>
      </c>
      <c r="BC66">
        <v>45.625309999999999</v>
      </c>
      <c r="BD66">
        <v>40.971299999999999</v>
      </c>
    </row>
    <row r="67" spans="1:56">
      <c r="A67">
        <v>2020000000</v>
      </c>
      <c r="B67" t="s">
        <v>6</v>
      </c>
      <c r="C67">
        <v>2</v>
      </c>
      <c r="D67" t="s">
        <v>73</v>
      </c>
      <c r="E67">
        <v>0</v>
      </c>
      <c r="F67" t="s">
        <v>74</v>
      </c>
      <c r="G67">
        <v>54</v>
      </c>
      <c r="H67" t="s">
        <v>128</v>
      </c>
      <c r="J67">
        <v>36.003990000000002</v>
      </c>
      <c r="K67">
        <v>37.650309999999998</v>
      </c>
      <c r="L67">
        <v>40.4908</v>
      </c>
      <c r="M67">
        <v>35.211930000000002</v>
      </c>
      <c r="N67">
        <v>39.440429999999999</v>
      </c>
      <c r="O67">
        <v>42.340829999999997</v>
      </c>
      <c r="P67">
        <v>39.134549999999997</v>
      </c>
      <c r="Q67">
        <v>37.242939999999997</v>
      </c>
      <c r="R67">
        <v>39.049909999999997</v>
      </c>
      <c r="S67">
        <v>39.502940000000002</v>
      </c>
      <c r="T67">
        <v>36.137639999999998</v>
      </c>
      <c r="U67">
        <v>36.04871</v>
      </c>
      <c r="V67">
        <v>41.088859999999997</v>
      </c>
      <c r="W67">
        <v>35.613280000000003</v>
      </c>
      <c r="X67">
        <v>37.077309999999997</v>
      </c>
      <c r="Y67">
        <v>42.72533</v>
      </c>
      <c r="Z67">
        <v>43.403640000000003</v>
      </c>
      <c r="AA67">
        <v>44.347050000000003</v>
      </c>
      <c r="AB67">
        <v>44.558410000000002</v>
      </c>
      <c r="AC67">
        <v>46.207529999999998</v>
      </c>
      <c r="AD67">
        <v>42.496459999999999</v>
      </c>
      <c r="AE67">
        <v>41.611980000000003</v>
      </c>
      <c r="AF67">
        <v>39.920470000000002</v>
      </c>
      <c r="AG67">
        <v>39.958509999999997</v>
      </c>
      <c r="AH67">
        <v>37.225859999999997</v>
      </c>
      <c r="AI67">
        <v>37.899279999999997</v>
      </c>
      <c r="AJ67">
        <v>35.526449999999997</v>
      </c>
      <c r="AK67">
        <v>33.924129999999998</v>
      </c>
      <c r="AL67">
        <v>30.861719999999998</v>
      </c>
      <c r="AM67">
        <v>38.669379999999997</v>
      </c>
      <c r="AN67">
        <v>42.254829999999998</v>
      </c>
      <c r="AO67">
        <v>45.377339999999997</v>
      </c>
      <c r="AP67">
        <v>38.061219999999999</v>
      </c>
      <c r="AQ67">
        <v>37.672840000000001</v>
      </c>
      <c r="AR67">
        <v>38.371540000000003</v>
      </c>
      <c r="AS67">
        <v>38.46557</v>
      </c>
      <c r="AT67">
        <v>39.29927</v>
      </c>
      <c r="AU67">
        <v>38.887309999999999</v>
      </c>
      <c r="AV67">
        <v>42.89143</v>
      </c>
      <c r="AW67">
        <v>37.547969999999999</v>
      </c>
      <c r="AX67">
        <v>43.957239999999999</v>
      </c>
      <c r="AY67">
        <v>38.829500000000003</v>
      </c>
      <c r="AZ67">
        <v>41.58934</v>
      </c>
      <c r="BA67">
        <v>40.027059999999999</v>
      </c>
      <c r="BB67">
        <v>42.868650000000002</v>
      </c>
      <c r="BC67">
        <v>41.918770000000002</v>
      </c>
      <c r="BD67">
        <v>37.302930000000003</v>
      </c>
    </row>
    <row r="68" spans="1:56">
      <c r="A68">
        <v>2020000000</v>
      </c>
      <c r="B68" t="s">
        <v>6</v>
      </c>
      <c r="C68">
        <v>2</v>
      </c>
      <c r="D68" t="s">
        <v>73</v>
      </c>
      <c r="E68">
        <v>0</v>
      </c>
      <c r="F68" t="s">
        <v>74</v>
      </c>
      <c r="G68">
        <v>55</v>
      </c>
      <c r="H68" t="s">
        <v>129</v>
      </c>
      <c r="J68">
        <v>32.649700000000003</v>
      </c>
      <c r="K68">
        <v>35.003619999999998</v>
      </c>
      <c r="L68">
        <v>37.491340000000001</v>
      </c>
      <c r="M68">
        <v>31.154229999999998</v>
      </c>
      <c r="N68">
        <v>36.363639999999997</v>
      </c>
      <c r="O68">
        <v>38.809080000000002</v>
      </c>
      <c r="P68">
        <v>35.966160000000002</v>
      </c>
      <c r="Q68">
        <v>34.505719999999997</v>
      </c>
      <c r="R68">
        <v>36.24324</v>
      </c>
      <c r="S68">
        <v>36.66554</v>
      </c>
      <c r="T68">
        <v>33.329189999999997</v>
      </c>
      <c r="U68">
        <v>33.146389999999997</v>
      </c>
      <c r="V68">
        <v>38.354799999999997</v>
      </c>
      <c r="W68">
        <v>32.480449999999998</v>
      </c>
      <c r="X68">
        <v>33.701779999999999</v>
      </c>
      <c r="Y68">
        <v>39.544359999999998</v>
      </c>
      <c r="Z68">
        <v>39.992489999999997</v>
      </c>
      <c r="AA68">
        <v>40.93506</v>
      </c>
      <c r="AB68">
        <v>41.733199999999997</v>
      </c>
      <c r="AC68">
        <v>43.051110000000001</v>
      </c>
      <c r="AD68">
        <v>39.179029999999997</v>
      </c>
      <c r="AE68">
        <v>38.607529999999997</v>
      </c>
      <c r="AF68">
        <v>36.537219999999998</v>
      </c>
      <c r="AG68">
        <v>36.609200000000001</v>
      </c>
      <c r="AH68">
        <v>33.369129999999998</v>
      </c>
      <c r="AI68">
        <v>34.45431</v>
      </c>
      <c r="AJ68">
        <v>32.393039999999999</v>
      </c>
      <c r="AK68">
        <v>31.095839999999999</v>
      </c>
      <c r="AL68">
        <v>27.369230000000002</v>
      </c>
      <c r="AM68">
        <v>36.628219999999999</v>
      </c>
      <c r="AN68">
        <v>39.236109999999996</v>
      </c>
      <c r="AO68">
        <v>40.048050000000003</v>
      </c>
      <c r="AP68">
        <v>36.170529999999999</v>
      </c>
      <c r="AQ68">
        <v>34.592489999999998</v>
      </c>
      <c r="AR68">
        <v>35.19115</v>
      </c>
      <c r="AS68">
        <v>35.788069999999998</v>
      </c>
      <c r="AT68">
        <v>35.031509999999997</v>
      </c>
      <c r="AU68">
        <v>35.021059999999999</v>
      </c>
      <c r="AV68">
        <v>41.31617</v>
      </c>
      <c r="AW68">
        <v>34.121740000000003</v>
      </c>
      <c r="AX68">
        <v>39.600839999999998</v>
      </c>
      <c r="AY68">
        <v>35.188600000000001</v>
      </c>
      <c r="AZ68">
        <v>38.400179999999999</v>
      </c>
      <c r="BA68">
        <v>36.891480000000001</v>
      </c>
      <c r="BB68">
        <v>39.554290000000002</v>
      </c>
      <c r="BC68">
        <v>37.989660000000001</v>
      </c>
      <c r="BD68">
        <v>33.111220000000003</v>
      </c>
    </row>
    <row r="69" spans="1:56">
      <c r="A69">
        <v>2020000000</v>
      </c>
      <c r="B69" t="s">
        <v>6</v>
      </c>
      <c r="C69">
        <v>2</v>
      </c>
      <c r="D69" t="s">
        <v>73</v>
      </c>
      <c r="E69">
        <v>0</v>
      </c>
      <c r="F69" t="s">
        <v>74</v>
      </c>
      <c r="G69">
        <v>56</v>
      </c>
      <c r="H69" t="s">
        <v>130</v>
      </c>
      <c r="J69">
        <v>28.894369999999999</v>
      </c>
      <c r="K69">
        <v>31.35981</v>
      </c>
      <c r="L69">
        <v>34.889139999999998</v>
      </c>
      <c r="M69">
        <v>27.944369999999999</v>
      </c>
      <c r="N69">
        <v>31.63607</v>
      </c>
      <c r="O69">
        <v>34.826949999999997</v>
      </c>
      <c r="P69">
        <v>31.97024</v>
      </c>
      <c r="Q69">
        <v>30.604089999999999</v>
      </c>
      <c r="R69">
        <v>32.817120000000003</v>
      </c>
      <c r="S69">
        <v>33.160820000000001</v>
      </c>
      <c r="T69">
        <v>29.860939999999999</v>
      </c>
      <c r="U69">
        <v>29.57996</v>
      </c>
      <c r="V69">
        <v>35.020650000000003</v>
      </c>
      <c r="W69">
        <v>28.693919999999999</v>
      </c>
      <c r="X69">
        <v>30.777429999999999</v>
      </c>
      <c r="Y69">
        <v>35.777610000000003</v>
      </c>
      <c r="Z69">
        <v>35.500390000000003</v>
      </c>
      <c r="AA69">
        <v>37.83231</v>
      </c>
      <c r="AB69">
        <v>38.703220000000002</v>
      </c>
      <c r="AC69">
        <v>39.672890000000002</v>
      </c>
      <c r="AD69">
        <v>36.015990000000002</v>
      </c>
      <c r="AE69">
        <v>34.876330000000003</v>
      </c>
      <c r="AF69">
        <v>32.651139999999998</v>
      </c>
      <c r="AG69">
        <v>33.217759999999998</v>
      </c>
      <c r="AH69">
        <v>29.55368</v>
      </c>
      <c r="AI69">
        <v>31.504110000000001</v>
      </c>
      <c r="AJ69">
        <v>28.824459999999998</v>
      </c>
      <c r="AK69">
        <v>27.62566</v>
      </c>
      <c r="AL69">
        <v>24.23612</v>
      </c>
      <c r="AM69">
        <v>31.857520000000001</v>
      </c>
      <c r="AN69">
        <v>34.846200000000003</v>
      </c>
      <c r="AO69">
        <v>36.566279999999999</v>
      </c>
      <c r="AP69">
        <v>31.650690000000001</v>
      </c>
      <c r="AQ69">
        <v>31.697970000000002</v>
      </c>
      <c r="AR69">
        <v>32.108469999999997</v>
      </c>
      <c r="AS69">
        <v>31.915569999999999</v>
      </c>
      <c r="AT69">
        <v>32.129080000000002</v>
      </c>
      <c r="AU69">
        <v>30.935130000000001</v>
      </c>
      <c r="AV69">
        <v>36.956879999999998</v>
      </c>
      <c r="AW69">
        <v>30.773389999999999</v>
      </c>
      <c r="AX69">
        <v>35.884529999999998</v>
      </c>
      <c r="AY69">
        <v>30.912990000000001</v>
      </c>
      <c r="AZ69">
        <v>34.342790000000001</v>
      </c>
      <c r="BA69">
        <v>32.321910000000003</v>
      </c>
      <c r="BB69">
        <v>35.397759999999998</v>
      </c>
      <c r="BC69">
        <v>33.502780000000001</v>
      </c>
      <c r="BD69">
        <v>30.040949999999999</v>
      </c>
    </row>
    <row r="70" spans="1:56">
      <c r="A70">
        <v>2020000000</v>
      </c>
      <c r="B70" t="s">
        <v>6</v>
      </c>
      <c r="C70">
        <v>2</v>
      </c>
      <c r="D70" t="s">
        <v>73</v>
      </c>
      <c r="E70">
        <v>0</v>
      </c>
      <c r="F70" t="s">
        <v>74</v>
      </c>
      <c r="G70">
        <v>57</v>
      </c>
      <c r="H70" t="s">
        <v>131</v>
      </c>
      <c r="J70">
        <v>25.75553</v>
      </c>
      <c r="K70">
        <v>28.76803</v>
      </c>
      <c r="L70">
        <v>30.97345</v>
      </c>
      <c r="M70">
        <v>25.123069999999998</v>
      </c>
      <c r="N70">
        <v>28.885960000000001</v>
      </c>
      <c r="O70">
        <v>32.33831</v>
      </c>
      <c r="P70">
        <v>28.79682</v>
      </c>
      <c r="Q70">
        <v>27.95899</v>
      </c>
      <c r="R70">
        <v>30.335319999999999</v>
      </c>
      <c r="S70">
        <v>30.549119999999998</v>
      </c>
      <c r="T70">
        <v>26.693290000000001</v>
      </c>
      <c r="U70">
        <v>27.06183</v>
      </c>
      <c r="V70">
        <v>32.509329999999999</v>
      </c>
      <c r="W70">
        <v>26.148440000000001</v>
      </c>
      <c r="X70">
        <v>27.194189999999999</v>
      </c>
      <c r="Y70">
        <v>32.689369999999997</v>
      </c>
      <c r="Z70">
        <v>31.78745</v>
      </c>
      <c r="AA70">
        <v>36.302570000000003</v>
      </c>
      <c r="AB70">
        <v>35.231369999999998</v>
      </c>
      <c r="AC70">
        <v>36.259010000000004</v>
      </c>
      <c r="AD70">
        <v>32.005420000000001</v>
      </c>
      <c r="AE70">
        <v>31.546880000000002</v>
      </c>
      <c r="AF70">
        <v>29.935289999999998</v>
      </c>
      <c r="AG70">
        <v>30.735209999999999</v>
      </c>
      <c r="AH70">
        <v>27.307829999999999</v>
      </c>
      <c r="AI70">
        <v>28.80828</v>
      </c>
      <c r="AJ70">
        <v>26.212620000000001</v>
      </c>
      <c r="AK70">
        <v>24.865780000000001</v>
      </c>
      <c r="AL70">
        <v>21.993559999999999</v>
      </c>
      <c r="AM70">
        <v>30.496849999999998</v>
      </c>
      <c r="AN70">
        <v>32.096769999999999</v>
      </c>
      <c r="AO70">
        <v>34.375979999999998</v>
      </c>
      <c r="AP70">
        <v>28.802710000000001</v>
      </c>
      <c r="AQ70">
        <v>28.767700000000001</v>
      </c>
      <c r="AR70">
        <v>29.25733</v>
      </c>
      <c r="AS70">
        <v>29.042570000000001</v>
      </c>
      <c r="AT70">
        <v>30.12961</v>
      </c>
      <c r="AU70">
        <v>29.558229999999998</v>
      </c>
      <c r="AV70">
        <v>34.952620000000003</v>
      </c>
      <c r="AW70">
        <v>27.75704</v>
      </c>
      <c r="AX70">
        <v>33.846800000000002</v>
      </c>
      <c r="AY70">
        <v>27.928360000000001</v>
      </c>
      <c r="AZ70">
        <v>31.6388</v>
      </c>
      <c r="BA70">
        <v>29.81842</v>
      </c>
      <c r="BB70">
        <v>32.839919999999999</v>
      </c>
      <c r="BC70">
        <v>31.447230000000001</v>
      </c>
      <c r="BD70">
        <v>27.560220000000001</v>
      </c>
    </row>
    <row r="71" spans="1:56">
      <c r="A71">
        <v>2020000000</v>
      </c>
      <c r="B71" t="s">
        <v>6</v>
      </c>
      <c r="C71">
        <v>2</v>
      </c>
      <c r="D71" t="s">
        <v>73</v>
      </c>
      <c r="E71">
        <v>0</v>
      </c>
      <c r="F71" t="s">
        <v>74</v>
      </c>
      <c r="G71">
        <v>58</v>
      </c>
      <c r="H71" t="s">
        <v>132</v>
      </c>
      <c r="J71">
        <v>22.972079999999998</v>
      </c>
      <c r="K71">
        <v>25.895189999999999</v>
      </c>
      <c r="L71">
        <v>27.534020000000002</v>
      </c>
      <c r="M71">
        <v>22.096769999999999</v>
      </c>
      <c r="N71">
        <v>25.228200000000001</v>
      </c>
      <c r="O71">
        <v>29.488350000000001</v>
      </c>
      <c r="P71">
        <v>27.023790000000002</v>
      </c>
      <c r="Q71">
        <v>24.80707</v>
      </c>
      <c r="R71">
        <v>28.418869999999998</v>
      </c>
      <c r="S71">
        <v>28.109259999999999</v>
      </c>
      <c r="T71">
        <v>24.755469999999999</v>
      </c>
      <c r="U71">
        <v>24.342169999999999</v>
      </c>
      <c r="V71">
        <v>30.138339999999999</v>
      </c>
      <c r="W71">
        <v>23.716080000000002</v>
      </c>
      <c r="X71">
        <v>24.967359999999999</v>
      </c>
      <c r="Y71">
        <v>31.285080000000001</v>
      </c>
      <c r="Z71">
        <v>29.589009999999998</v>
      </c>
      <c r="AA71">
        <v>32.059080000000002</v>
      </c>
      <c r="AB71">
        <v>32.388910000000003</v>
      </c>
      <c r="AC71">
        <v>33.697090000000003</v>
      </c>
      <c r="AD71">
        <v>29.21574</v>
      </c>
      <c r="AE71">
        <v>29.319669999999999</v>
      </c>
      <c r="AF71">
        <v>27.247800000000002</v>
      </c>
      <c r="AG71">
        <v>27.831019999999999</v>
      </c>
      <c r="AH71">
        <v>24.776430000000001</v>
      </c>
      <c r="AI71">
        <v>26.53912</v>
      </c>
      <c r="AJ71">
        <v>24.13278</v>
      </c>
      <c r="AK71">
        <v>22.88683</v>
      </c>
      <c r="AL71">
        <v>20.139949999999999</v>
      </c>
      <c r="AM71">
        <v>28.59564</v>
      </c>
      <c r="AN71">
        <v>30.262630000000001</v>
      </c>
      <c r="AO71">
        <v>31.514859999999999</v>
      </c>
      <c r="AP71">
        <v>26.534030000000001</v>
      </c>
      <c r="AQ71">
        <v>26.339929999999999</v>
      </c>
      <c r="AR71">
        <v>27.278269999999999</v>
      </c>
      <c r="AS71">
        <v>27.022839999999999</v>
      </c>
      <c r="AT71">
        <v>28.5123</v>
      </c>
      <c r="AU71">
        <v>26.74023</v>
      </c>
      <c r="AV71">
        <v>31.635020000000001</v>
      </c>
      <c r="AW71">
        <v>25.210909999999998</v>
      </c>
      <c r="AX71">
        <v>31.291260000000001</v>
      </c>
      <c r="AY71">
        <v>25.369440000000001</v>
      </c>
      <c r="AZ71">
        <v>28.47908</v>
      </c>
      <c r="BA71">
        <v>26.551010000000002</v>
      </c>
      <c r="BB71">
        <v>28.786809999999999</v>
      </c>
      <c r="BC71">
        <v>27.621880000000001</v>
      </c>
      <c r="BD71">
        <v>24.036940000000001</v>
      </c>
    </row>
    <row r="72" spans="1:56">
      <c r="A72">
        <v>2020000000</v>
      </c>
      <c r="B72" t="s">
        <v>6</v>
      </c>
      <c r="C72">
        <v>2</v>
      </c>
      <c r="D72" t="s">
        <v>73</v>
      </c>
      <c r="E72">
        <v>0</v>
      </c>
      <c r="F72" t="s">
        <v>74</v>
      </c>
      <c r="G72">
        <v>59</v>
      </c>
      <c r="H72" t="s">
        <v>133</v>
      </c>
      <c r="J72">
        <v>20.251080000000002</v>
      </c>
      <c r="K72">
        <v>24.75365</v>
      </c>
      <c r="L72">
        <v>26.26135</v>
      </c>
      <c r="M72">
        <v>19.342600000000001</v>
      </c>
      <c r="N72">
        <v>22.901520000000001</v>
      </c>
      <c r="O72">
        <v>26.496770000000001</v>
      </c>
      <c r="P72">
        <v>24.44839</v>
      </c>
      <c r="Q72">
        <v>22.81015</v>
      </c>
      <c r="R72">
        <v>25.437080000000002</v>
      </c>
      <c r="S72">
        <v>25.194939999999999</v>
      </c>
      <c r="T72">
        <v>22.06193</v>
      </c>
      <c r="U72">
        <v>22.126819999999999</v>
      </c>
      <c r="V72">
        <v>28.239249999999998</v>
      </c>
      <c r="W72">
        <v>21.604559999999999</v>
      </c>
      <c r="X72">
        <v>22.21801</v>
      </c>
      <c r="Y72">
        <v>27.626529999999999</v>
      </c>
      <c r="Z72">
        <v>27.46669</v>
      </c>
      <c r="AA72">
        <v>29.81522</v>
      </c>
      <c r="AB72">
        <v>28.926410000000001</v>
      </c>
      <c r="AC72">
        <v>31.783380000000001</v>
      </c>
      <c r="AD72">
        <v>26.874400000000001</v>
      </c>
      <c r="AE72">
        <v>26.5289</v>
      </c>
      <c r="AF72">
        <v>24.918050000000001</v>
      </c>
      <c r="AG72">
        <v>25.601130000000001</v>
      </c>
      <c r="AH72">
        <v>23.21153</v>
      </c>
      <c r="AI72">
        <v>24.274149999999999</v>
      </c>
      <c r="AJ72">
        <v>21.64479</v>
      </c>
      <c r="AK72">
        <v>20.509869999999999</v>
      </c>
      <c r="AL72">
        <v>17.842669999999998</v>
      </c>
      <c r="AM72">
        <v>26.45778</v>
      </c>
      <c r="AN72">
        <v>27.81682</v>
      </c>
      <c r="AO72">
        <v>29.376660000000001</v>
      </c>
      <c r="AP72">
        <v>24.477689999999999</v>
      </c>
      <c r="AQ72">
        <v>24.39969</v>
      </c>
      <c r="AR72">
        <v>23.805540000000001</v>
      </c>
      <c r="AS72">
        <v>25.155380000000001</v>
      </c>
      <c r="AT72">
        <v>25.272279999999999</v>
      </c>
      <c r="AU72">
        <v>24.521979999999999</v>
      </c>
      <c r="AV72">
        <v>30.27722</v>
      </c>
      <c r="AW72">
        <v>22.72447</v>
      </c>
      <c r="AX72">
        <v>26.922440000000002</v>
      </c>
      <c r="AY72">
        <v>23.643160000000002</v>
      </c>
      <c r="AZ72">
        <v>26.183520000000001</v>
      </c>
      <c r="BA72">
        <v>23.47906</v>
      </c>
      <c r="BB72">
        <v>26.473230000000001</v>
      </c>
      <c r="BC72">
        <v>25.10164</v>
      </c>
      <c r="BD72">
        <v>21.68065</v>
      </c>
    </row>
    <row r="73" spans="1:56">
      <c r="A73">
        <v>2020000000</v>
      </c>
      <c r="B73" t="s">
        <v>6</v>
      </c>
      <c r="C73">
        <v>2</v>
      </c>
      <c r="D73" t="s">
        <v>73</v>
      </c>
      <c r="E73">
        <v>0</v>
      </c>
      <c r="F73" t="s">
        <v>74</v>
      </c>
      <c r="G73">
        <v>60</v>
      </c>
      <c r="H73" t="s">
        <v>134</v>
      </c>
      <c r="J73">
        <v>18.044799999999999</v>
      </c>
      <c r="K73">
        <v>22.13326</v>
      </c>
      <c r="L73">
        <v>23.880130000000001</v>
      </c>
      <c r="M73">
        <v>17.079709999999999</v>
      </c>
      <c r="N73">
        <v>20.288779999999999</v>
      </c>
      <c r="O73">
        <v>23.501850000000001</v>
      </c>
      <c r="P73">
        <v>22.425380000000001</v>
      </c>
      <c r="Q73">
        <v>20.03098</v>
      </c>
      <c r="R73">
        <v>21.82535</v>
      </c>
      <c r="S73">
        <v>22.511569999999999</v>
      </c>
      <c r="T73">
        <v>19.451609999999999</v>
      </c>
      <c r="U73">
        <v>19.303719999999998</v>
      </c>
      <c r="V73">
        <v>25.566220000000001</v>
      </c>
      <c r="W73">
        <v>19.93439</v>
      </c>
      <c r="X73">
        <v>20.167760000000001</v>
      </c>
      <c r="Y73">
        <v>23.760719999999999</v>
      </c>
      <c r="Z73">
        <v>23.443909999999999</v>
      </c>
      <c r="AA73">
        <v>28.115020000000001</v>
      </c>
      <c r="AB73">
        <v>27.10613</v>
      </c>
      <c r="AC73">
        <v>28.969280000000001</v>
      </c>
      <c r="AD73">
        <v>23.54175</v>
      </c>
      <c r="AE73">
        <v>22.711320000000001</v>
      </c>
      <c r="AF73">
        <v>22.842839999999999</v>
      </c>
      <c r="AG73">
        <v>23.325399999999998</v>
      </c>
      <c r="AH73">
        <v>20.420169999999999</v>
      </c>
      <c r="AI73">
        <v>21.857430000000001</v>
      </c>
      <c r="AJ73">
        <v>19.956620000000001</v>
      </c>
      <c r="AK73">
        <v>18.795500000000001</v>
      </c>
      <c r="AL73">
        <v>16.101569999999999</v>
      </c>
      <c r="AM73">
        <v>23.691459999999999</v>
      </c>
      <c r="AN73">
        <v>24.794360000000001</v>
      </c>
      <c r="AO73">
        <v>24.00498</v>
      </c>
      <c r="AP73">
        <v>20.88965</v>
      </c>
      <c r="AQ73">
        <v>21.499860000000002</v>
      </c>
      <c r="AR73">
        <v>22.182400000000001</v>
      </c>
      <c r="AS73">
        <v>21.581</v>
      </c>
      <c r="AT73">
        <v>21.566569999999999</v>
      </c>
      <c r="AU73">
        <v>21.853470000000002</v>
      </c>
      <c r="AV73">
        <v>26.929259999999999</v>
      </c>
      <c r="AW73">
        <v>19.811610000000002</v>
      </c>
      <c r="AX73">
        <v>23.93995</v>
      </c>
      <c r="AY73">
        <v>19.83277</v>
      </c>
      <c r="AZ73">
        <v>22.93656</v>
      </c>
      <c r="BA73">
        <v>20.859400000000001</v>
      </c>
      <c r="BB73">
        <v>23.175640000000001</v>
      </c>
      <c r="BC73">
        <v>22.4056</v>
      </c>
      <c r="BD73">
        <v>19.01408</v>
      </c>
    </row>
    <row r="74" spans="1:56">
      <c r="A74">
        <v>2020000000</v>
      </c>
      <c r="B74" t="s">
        <v>6</v>
      </c>
      <c r="C74">
        <v>2</v>
      </c>
      <c r="D74" t="s">
        <v>73</v>
      </c>
      <c r="E74">
        <v>0</v>
      </c>
      <c r="F74" t="s">
        <v>74</v>
      </c>
      <c r="G74">
        <v>61</v>
      </c>
      <c r="H74" t="s">
        <v>135</v>
      </c>
      <c r="J74">
        <v>14.984389999999999</v>
      </c>
      <c r="K74">
        <v>19.026800000000001</v>
      </c>
      <c r="L74">
        <v>20.479569999999999</v>
      </c>
      <c r="M74">
        <v>14.321709999999999</v>
      </c>
      <c r="N74">
        <v>17.580110000000001</v>
      </c>
      <c r="O74">
        <v>20.198119999999999</v>
      </c>
      <c r="P74">
        <v>18.091200000000001</v>
      </c>
      <c r="Q74">
        <v>17.557040000000001</v>
      </c>
      <c r="R74">
        <v>19.309010000000001</v>
      </c>
      <c r="S74">
        <v>19.61017</v>
      </c>
      <c r="T74">
        <v>16.962119999999999</v>
      </c>
      <c r="U74">
        <v>16.565799999999999</v>
      </c>
      <c r="V74">
        <v>22.99663</v>
      </c>
      <c r="W74">
        <v>16.846990000000002</v>
      </c>
      <c r="X74">
        <v>16.848099999999999</v>
      </c>
      <c r="Y74">
        <v>21.120470000000001</v>
      </c>
      <c r="Z74">
        <v>20.276250000000001</v>
      </c>
      <c r="AA74">
        <v>23.07282</v>
      </c>
      <c r="AB74">
        <v>24.023949999999999</v>
      </c>
      <c r="AC74">
        <v>25.927810000000001</v>
      </c>
      <c r="AD74">
        <v>19.623850000000001</v>
      </c>
      <c r="AE74">
        <v>20.348610000000001</v>
      </c>
      <c r="AF74">
        <v>19.69585</v>
      </c>
      <c r="AG74">
        <v>19.968969999999999</v>
      </c>
      <c r="AH74">
        <v>17.453959999999999</v>
      </c>
      <c r="AI74">
        <v>19.8459</v>
      </c>
      <c r="AJ74">
        <v>16.998930000000001</v>
      </c>
      <c r="AK74">
        <v>15.82141</v>
      </c>
      <c r="AL74">
        <v>13.50188</v>
      </c>
      <c r="AM74">
        <v>20.456669999999999</v>
      </c>
      <c r="AN74">
        <v>21.249569999999999</v>
      </c>
      <c r="AO74">
        <v>22.293330000000001</v>
      </c>
      <c r="AP74">
        <v>18.24278</v>
      </c>
      <c r="AQ74">
        <v>18.989550000000001</v>
      </c>
      <c r="AR74">
        <v>18.089310000000001</v>
      </c>
      <c r="AS74">
        <v>20.479659999999999</v>
      </c>
      <c r="AT74">
        <v>19.940829999999998</v>
      </c>
      <c r="AU74">
        <v>19.612459999999999</v>
      </c>
      <c r="AV74">
        <v>22.906110000000002</v>
      </c>
      <c r="AW74">
        <v>16.813569999999999</v>
      </c>
      <c r="AX74">
        <v>20.327549999999999</v>
      </c>
      <c r="AY74">
        <v>17.539380000000001</v>
      </c>
      <c r="AZ74">
        <v>19.364899999999999</v>
      </c>
      <c r="BA74">
        <v>18.550460000000001</v>
      </c>
      <c r="BB74">
        <v>21.01754</v>
      </c>
      <c r="BC74">
        <v>18.900659999999998</v>
      </c>
      <c r="BD74">
        <v>16.184650000000001</v>
      </c>
    </row>
    <row r="75" spans="1:56">
      <c r="A75">
        <v>2020000000</v>
      </c>
      <c r="B75" t="s">
        <v>6</v>
      </c>
      <c r="C75">
        <v>2</v>
      </c>
      <c r="D75" t="s">
        <v>73</v>
      </c>
      <c r="E75">
        <v>0</v>
      </c>
      <c r="F75" t="s">
        <v>74</v>
      </c>
      <c r="G75">
        <v>62</v>
      </c>
      <c r="H75" t="s">
        <v>136</v>
      </c>
      <c r="J75">
        <v>13.275119999999999</v>
      </c>
      <c r="K75">
        <v>17.57639</v>
      </c>
      <c r="L75">
        <v>18.47419</v>
      </c>
      <c r="M75">
        <v>12.80589</v>
      </c>
      <c r="N75">
        <v>15.503539999999999</v>
      </c>
      <c r="O75">
        <v>18.62904</v>
      </c>
      <c r="P75">
        <v>17.63073</v>
      </c>
      <c r="Q75">
        <v>16.475629999999999</v>
      </c>
      <c r="R75">
        <v>17.710699999999999</v>
      </c>
      <c r="S75">
        <v>17.872160000000001</v>
      </c>
      <c r="T75">
        <v>15.43455</v>
      </c>
      <c r="U75">
        <v>15.10605</v>
      </c>
      <c r="V75">
        <v>20.766439999999999</v>
      </c>
      <c r="W75">
        <v>14.99113</v>
      </c>
      <c r="X75">
        <v>15.78689</v>
      </c>
      <c r="Y75">
        <v>18.56081</v>
      </c>
      <c r="Z75">
        <v>17.188580000000002</v>
      </c>
      <c r="AA75">
        <v>19.643979999999999</v>
      </c>
      <c r="AB75">
        <v>22.245280000000001</v>
      </c>
      <c r="AC75">
        <v>24.033010000000001</v>
      </c>
      <c r="AD75">
        <v>18.012370000000001</v>
      </c>
      <c r="AE75">
        <v>17.63456</v>
      </c>
      <c r="AF75">
        <v>17.288499999999999</v>
      </c>
      <c r="AG75">
        <v>17.447289999999999</v>
      </c>
      <c r="AH75">
        <v>15.38261</v>
      </c>
      <c r="AI75">
        <v>16.848030000000001</v>
      </c>
      <c r="AJ75">
        <v>15.240080000000001</v>
      </c>
      <c r="AK75">
        <v>14.15358</v>
      </c>
      <c r="AL75">
        <v>12.262130000000001</v>
      </c>
      <c r="AM75">
        <v>19.337260000000001</v>
      </c>
      <c r="AN75">
        <v>20.485099999999999</v>
      </c>
      <c r="AO75">
        <v>19.25637</v>
      </c>
      <c r="AP75">
        <v>17.327020000000001</v>
      </c>
      <c r="AQ75">
        <v>16.68694</v>
      </c>
      <c r="AR75">
        <v>15.566269999999999</v>
      </c>
      <c r="AS75">
        <v>18.061</v>
      </c>
      <c r="AT75">
        <v>18.35089</v>
      </c>
      <c r="AU75">
        <v>17.434470000000001</v>
      </c>
      <c r="AV75">
        <v>20.489540000000002</v>
      </c>
      <c r="AW75">
        <v>14.90305</v>
      </c>
      <c r="AX75">
        <v>18.68224</v>
      </c>
      <c r="AY75">
        <v>15.55172</v>
      </c>
      <c r="AZ75">
        <v>18.301739999999999</v>
      </c>
      <c r="BA75">
        <v>15.157349999999999</v>
      </c>
      <c r="BB75">
        <v>18.362210000000001</v>
      </c>
      <c r="BC75">
        <v>16.790929999999999</v>
      </c>
      <c r="BD75">
        <v>13.21109</v>
      </c>
    </row>
    <row r="76" spans="1:56">
      <c r="A76">
        <v>2020000000</v>
      </c>
      <c r="B76" t="s">
        <v>6</v>
      </c>
      <c r="C76">
        <v>2</v>
      </c>
      <c r="D76" t="s">
        <v>73</v>
      </c>
      <c r="E76">
        <v>0</v>
      </c>
      <c r="F76" t="s">
        <v>74</v>
      </c>
      <c r="G76">
        <v>63</v>
      </c>
      <c r="H76" t="s">
        <v>137</v>
      </c>
      <c r="J76">
        <v>11.40649</v>
      </c>
      <c r="K76">
        <v>15.757009999999999</v>
      </c>
      <c r="L76">
        <v>16.045179999999998</v>
      </c>
      <c r="M76">
        <v>10.980650000000001</v>
      </c>
      <c r="N76">
        <v>13.75428</v>
      </c>
      <c r="O76">
        <v>15.860670000000001</v>
      </c>
      <c r="P76">
        <v>15.566800000000001</v>
      </c>
      <c r="Q76">
        <v>14.707420000000001</v>
      </c>
      <c r="R76">
        <v>14.815160000000001</v>
      </c>
      <c r="S76">
        <v>15.73531</v>
      </c>
      <c r="T76">
        <v>13.62594</v>
      </c>
      <c r="U76">
        <v>13.11647</v>
      </c>
      <c r="V76">
        <v>18.766290000000001</v>
      </c>
      <c r="W76">
        <v>13.71001</v>
      </c>
      <c r="X76">
        <v>13.78082</v>
      </c>
      <c r="Y76">
        <v>16.659369999999999</v>
      </c>
      <c r="Z76">
        <v>14.499510000000001</v>
      </c>
      <c r="AA76">
        <v>17.604320000000001</v>
      </c>
      <c r="AB76">
        <v>19.741040000000002</v>
      </c>
      <c r="AC76">
        <v>21.20204</v>
      </c>
      <c r="AD76">
        <v>15.909269999999999</v>
      </c>
      <c r="AE76">
        <v>16.050239999999999</v>
      </c>
      <c r="AF76">
        <v>15.867190000000001</v>
      </c>
      <c r="AG76">
        <v>15.779960000000001</v>
      </c>
      <c r="AH76">
        <v>13.812150000000001</v>
      </c>
      <c r="AI76">
        <v>14.94459</v>
      </c>
      <c r="AJ76">
        <v>13.20285</v>
      </c>
      <c r="AK76">
        <v>12.53806</v>
      </c>
      <c r="AL76">
        <v>11.130879999999999</v>
      </c>
      <c r="AM76">
        <v>16.734760000000001</v>
      </c>
      <c r="AN76">
        <v>18.179010000000002</v>
      </c>
      <c r="AO76">
        <v>18.299320000000002</v>
      </c>
      <c r="AP76">
        <v>14.95931</v>
      </c>
      <c r="AQ76">
        <v>14.67385</v>
      </c>
      <c r="AR76">
        <v>14.22794</v>
      </c>
      <c r="AS76">
        <v>15.96865</v>
      </c>
      <c r="AT76">
        <v>16.119240000000001</v>
      </c>
      <c r="AU76">
        <v>14.99174</v>
      </c>
      <c r="AV76">
        <v>19.195820000000001</v>
      </c>
      <c r="AW76">
        <v>12.683310000000001</v>
      </c>
      <c r="AX76">
        <v>16.634589999999999</v>
      </c>
      <c r="AY76">
        <v>13.008850000000001</v>
      </c>
      <c r="AZ76">
        <v>16.052969999999998</v>
      </c>
      <c r="BA76">
        <v>13.42567</v>
      </c>
      <c r="BB76">
        <v>15.87528</v>
      </c>
      <c r="BC76">
        <v>15.69392</v>
      </c>
      <c r="BD76">
        <v>12.268420000000001</v>
      </c>
    </row>
    <row r="77" spans="1:56">
      <c r="A77">
        <v>2020000000</v>
      </c>
      <c r="B77" t="s">
        <v>6</v>
      </c>
      <c r="C77">
        <v>2</v>
      </c>
      <c r="D77" t="s">
        <v>73</v>
      </c>
      <c r="E77">
        <v>0</v>
      </c>
      <c r="F77" t="s">
        <v>74</v>
      </c>
      <c r="G77">
        <v>64</v>
      </c>
      <c r="H77" t="s">
        <v>138</v>
      </c>
      <c r="J77">
        <v>10.125389999999999</v>
      </c>
      <c r="K77">
        <v>14.007960000000001</v>
      </c>
      <c r="L77">
        <v>14.44524</v>
      </c>
      <c r="M77">
        <v>9.9583999999999993</v>
      </c>
      <c r="N77">
        <v>11.18709</v>
      </c>
      <c r="O77">
        <v>14.328720000000001</v>
      </c>
      <c r="P77">
        <v>13.86176</v>
      </c>
      <c r="Q77">
        <v>12.51446</v>
      </c>
      <c r="R77">
        <v>13.44811</v>
      </c>
      <c r="S77">
        <v>14.055960000000001</v>
      </c>
      <c r="T77">
        <v>11.96959</v>
      </c>
      <c r="U77">
        <v>11.803039999999999</v>
      </c>
      <c r="V77">
        <v>16.876609999999999</v>
      </c>
      <c r="W77">
        <v>11.525550000000001</v>
      </c>
      <c r="X77">
        <v>12.00752</v>
      </c>
      <c r="Y77">
        <v>13.43445</v>
      </c>
      <c r="Z77">
        <v>12.597440000000001</v>
      </c>
      <c r="AA77">
        <v>15.20016</v>
      </c>
      <c r="AB77">
        <v>16.770440000000001</v>
      </c>
      <c r="AC77">
        <v>20.153220000000001</v>
      </c>
      <c r="AD77">
        <v>14.623620000000001</v>
      </c>
      <c r="AE77">
        <v>14.24662</v>
      </c>
      <c r="AF77">
        <v>13.906829999999999</v>
      </c>
      <c r="AG77">
        <v>13.36619</v>
      </c>
      <c r="AH77">
        <v>11.846539999999999</v>
      </c>
      <c r="AI77">
        <v>14.094390000000001</v>
      </c>
      <c r="AJ77">
        <v>11.634029999999999</v>
      </c>
      <c r="AK77">
        <v>10.96261</v>
      </c>
      <c r="AL77">
        <v>9.6333300000000008</v>
      </c>
      <c r="AM77">
        <v>14.056889999999999</v>
      </c>
      <c r="AN77">
        <v>15.22199</v>
      </c>
      <c r="AO77">
        <v>14.757149999999999</v>
      </c>
      <c r="AP77">
        <v>13.140510000000001</v>
      </c>
      <c r="AQ77">
        <v>13.66168</v>
      </c>
      <c r="AR77">
        <v>12.20079</v>
      </c>
      <c r="AS77">
        <v>14.11816</v>
      </c>
      <c r="AT77">
        <v>14.477029999999999</v>
      </c>
      <c r="AU77">
        <v>14.087949999999999</v>
      </c>
      <c r="AV77">
        <v>16.737020000000001</v>
      </c>
      <c r="AW77">
        <v>11.3977</v>
      </c>
      <c r="AX77">
        <v>14.358040000000001</v>
      </c>
      <c r="AY77">
        <v>11.44476</v>
      </c>
      <c r="AZ77">
        <v>13.898540000000001</v>
      </c>
      <c r="BA77">
        <v>11.80519</v>
      </c>
      <c r="BB77">
        <v>14.06822</v>
      </c>
      <c r="BC77">
        <v>12.227309999999999</v>
      </c>
      <c r="BD77">
        <v>10.106920000000001</v>
      </c>
    </row>
    <row r="78" spans="1:56">
      <c r="A78">
        <v>2020000000</v>
      </c>
      <c r="B78" t="s">
        <v>6</v>
      </c>
      <c r="C78">
        <v>2</v>
      </c>
      <c r="D78" t="s">
        <v>73</v>
      </c>
      <c r="E78">
        <v>0</v>
      </c>
      <c r="F78" t="s">
        <v>74</v>
      </c>
      <c r="G78">
        <v>65</v>
      </c>
      <c r="H78" t="s">
        <v>139</v>
      </c>
      <c r="J78">
        <v>8.7296600000000009</v>
      </c>
      <c r="K78">
        <v>13.314819999999999</v>
      </c>
      <c r="L78">
        <v>13.09005</v>
      </c>
      <c r="M78">
        <v>8.4654199999999999</v>
      </c>
      <c r="N78">
        <v>9.5609900000000003</v>
      </c>
      <c r="O78">
        <v>13.24222</v>
      </c>
      <c r="P78">
        <v>13.09761</v>
      </c>
      <c r="Q78">
        <v>11.10197</v>
      </c>
      <c r="R78">
        <v>13.021940000000001</v>
      </c>
      <c r="S78">
        <v>12.37842</v>
      </c>
      <c r="T78">
        <v>10.566700000000001</v>
      </c>
      <c r="U78">
        <v>10.14157</v>
      </c>
      <c r="V78">
        <v>14.986129999999999</v>
      </c>
      <c r="W78">
        <v>10.335570000000001</v>
      </c>
      <c r="X78">
        <v>10.921200000000001</v>
      </c>
      <c r="Y78">
        <v>11.571490000000001</v>
      </c>
      <c r="Z78">
        <v>10.642569999999999</v>
      </c>
      <c r="AA78">
        <v>13.072190000000001</v>
      </c>
      <c r="AB78">
        <v>15.70881</v>
      </c>
      <c r="AC78">
        <v>17.30753</v>
      </c>
      <c r="AD78">
        <v>12.02434</v>
      </c>
      <c r="AE78">
        <v>12.227510000000001</v>
      </c>
      <c r="AF78">
        <v>12.11491</v>
      </c>
      <c r="AG78">
        <v>11.84431</v>
      </c>
      <c r="AH78">
        <v>10.263579999999999</v>
      </c>
      <c r="AI78">
        <v>12.21077</v>
      </c>
      <c r="AJ78">
        <v>10.210599999999999</v>
      </c>
      <c r="AK78">
        <v>9.6605100000000004</v>
      </c>
      <c r="AL78">
        <v>8.7172999999999998</v>
      </c>
      <c r="AM78">
        <v>12.480230000000001</v>
      </c>
      <c r="AN78">
        <v>16.576740000000001</v>
      </c>
      <c r="AO78">
        <v>14.050929999999999</v>
      </c>
      <c r="AP78">
        <v>11.051170000000001</v>
      </c>
      <c r="AQ78">
        <v>11.667579999999999</v>
      </c>
      <c r="AR78">
        <v>10.599119999999999</v>
      </c>
      <c r="AS78">
        <v>12.754989999999999</v>
      </c>
      <c r="AT78">
        <v>12.35431</v>
      </c>
      <c r="AU78">
        <v>12.22697</v>
      </c>
      <c r="AV78">
        <v>15.188230000000001</v>
      </c>
      <c r="AW78">
        <v>9.9992900000000002</v>
      </c>
      <c r="AX78">
        <v>13.366339999999999</v>
      </c>
      <c r="AY78">
        <v>9.8036999999999992</v>
      </c>
      <c r="AZ78">
        <v>12.371919999999999</v>
      </c>
      <c r="BA78">
        <v>10.53749</v>
      </c>
      <c r="BB78">
        <v>12.229799999999999</v>
      </c>
      <c r="BC78">
        <v>11.617570000000001</v>
      </c>
      <c r="BD78">
        <v>8.7786299999999997</v>
      </c>
    </row>
    <row r="79" spans="1:56">
      <c r="A79">
        <v>2020000000</v>
      </c>
      <c r="B79" t="s">
        <v>6</v>
      </c>
      <c r="C79">
        <v>2</v>
      </c>
      <c r="D79" t="s">
        <v>73</v>
      </c>
      <c r="E79">
        <v>0</v>
      </c>
      <c r="F79" t="s">
        <v>74</v>
      </c>
      <c r="G79">
        <v>66</v>
      </c>
      <c r="H79" t="s">
        <v>140</v>
      </c>
      <c r="J79">
        <v>7.4752799999999997</v>
      </c>
      <c r="K79">
        <v>11.335179999999999</v>
      </c>
      <c r="L79">
        <v>12.01831</v>
      </c>
      <c r="M79">
        <v>7.4728599999999998</v>
      </c>
      <c r="N79">
        <v>8.6158000000000001</v>
      </c>
      <c r="O79">
        <v>10.97261</v>
      </c>
      <c r="P79">
        <v>11.42173</v>
      </c>
      <c r="Q79">
        <v>9.9234000000000009</v>
      </c>
      <c r="R79">
        <v>11.09314</v>
      </c>
      <c r="S79">
        <v>11.833170000000001</v>
      </c>
      <c r="T79">
        <v>9.0688099999999991</v>
      </c>
      <c r="U79">
        <v>8.9960500000000003</v>
      </c>
      <c r="V79">
        <v>13.506919999999999</v>
      </c>
      <c r="W79">
        <v>8.8936399999999995</v>
      </c>
      <c r="X79">
        <v>10.067690000000001</v>
      </c>
      <c r="Y79">
        <v>9.8945900000000009</v>
      </c>
      <c r="Z79">
        <v>9.6326999999999998</v>
      </c>
      <c r="AA79">
        <v>11.6675</v>
      </c>
      <c r="AB79">
        <v>14.534879999999999</v>
      </c>
      <c r="AC79">
        <v>15.752140000000001</v>
      </c>
      <c r="AD79">
        <v>10.31823</v>
      </c>
      <c r="AE79">
        <v>10.951790000000001</v>
      </c>
      <c r="AF79">
        <v>10.99513</v>
      </c>
      <c r="AG79">
        <v>10.70557</v>
      </c>
      <c r="AH79">
        <v>9.1</v>
      </c>
      <c r="AI79">
        <v>10.94572</v>
      </c>
      <c r="AJ79">
        <v>8.6890000000000001</v>
      </c>
      <c r="AK79">
        <v>8.4591600000000007</v>
      </c>
      <c r="AL79">
        <v>7.7226400000000002</v>
      </c>
      <c r="AM79">
        <v>11.30339</v>
      </c>
      <c r="AN79">
        <v>13.20121</v>
      </c>
      <c r="AO79">
        <v>12.16506</v>
      </c>
      <c r="AP79">
        <v>10.75174</v>
      </c>
      <c r="AQ79">
        <v>10.444850000000001</v>
      </c>
      <c r="AR79">
        <v>9.7925299999999993</v>
      </c>
      <c r="AS79">
        <v>11.902340000000001</v>
      </c>
      <c r="AT79">
        <v>11.590299999999999</v>
      </c>
      <c r="AU79">
        <v>11.01159</v>
      </c>
      <c r="AV79">
        <v>12.87153</v>
      </c>
      <c r="AW79">
        <v>8.1608499999999999</v>
      </c>
      <c r="AX79">
        <v>11.192539999999999</v>
      </c>
      <c r="AY79">
        <v>8.9294499999999992</v>
      </c>
      <c r="AZ79">
        <v>11.07105</v>
      </c>
      <c r="BA79">
        <v>9.5720600000000005</v>
      </c>
      <c r="BB79">
        <v>10.345969999999999</v>
      </c>
      <c r="BC79">
        <v>9.8272399999999998</v>
      </c>
      <c r="BD79">
        <v>6.9517600000000002</v>
      </c>
    </row>
    <row r="80" spans="1:56">
      <c r="A80">
        <v>2020000000</v>
      </c>
      <c r="B80" t="s">
        <v>6</v>
      </c>
      <c r="C80">
        <v>2</v>
      </c>
      <c r="D80" t="s">
        <v>73</v>
      </c>
      <c r="E80">
        <v>0</v>
      </c>
      <c r="F80" t="s">
        <v>74</v>
      </c>
      <c r="G80">
        <v>67</v>
      </c>
      <c r="H80" t="s">
        <v>141</v>
      </c>
      <c r="J80">
        <v>6.5573800000000002</v>
      </c>
      <c r="K80">
        <v>10.24708</v>
      </c>
      <c r="L80">
        <v>10.709680000000001</v>
      </c>
      <c r="M80">
        <v>6.7609399999999997</v>
      </c>
      <c r="N80">
        <v>7.2180200000000001</v>
      </c>
      <c r="O80">
        <v>9.7763500000000008</v>
      </c>
      <c r="P80">
        <v>9.9882600000000004</v>
      </c>
      <c r="Q80">
        <v>8.7414699999999996</v>
      </c>
      <c r="R80">
        <v>9.3304899999999993</v>
      </c>
      <c r="S80">
        <v>9.6793600000000009</v>
      </c>
      <c r="T80">
        <v>8.1276399999999995</v>
      </c>
      <c r="U80">
        <v>7.7754899999999996</v>
      </c>
      <c r="V80">
        <v>11.238849999999999</v>
      </c>
      <c r="W80">
        <v>7.80565</v>
      </c>
      <c r="X80">
        <v>8.2374799999999997</v>
      </c>
      <c r="Y80">
        <v>7.7366700000000002</v>
      </c>
      <c r="Z80">
        <v>7.5273300000000001</v>
      </c>
      <c r="AA80">
        <v>8.3460199999999993</v>
      </c>
      <c r="AB80">
        <v>13.700419999999999</v>
      </c>
      <c r="AC80">
        <v>14.20065</v>
      </c>
      <c r="AD80">
        <v>8.7037600000000008</v>
      </c>
      <c r="AE80">
        <v>9.2096699999999991</v>
      </c>
      <c r="AF80">
        <v>9.3054900000000007</v>
      </c>
      <c r="AG80">
        <v>8.9718099999999996</v>
      </c>
      <c r="AH80">
        <v>7.9263199999999996</v>
      </c>
      <c r="AI80">
        <v>9.1655899999999999</v>
      </c>
      <c r="AJ80">
        <v>7.2164700000000002</v>
      </c>
      <c r="AK80">
        <v>6.8765799999999997</v>
      </c>
      <c r="AL80">
        <v>7.1239699999999999</v>
      </c>
      <c r="AM80">
        <v>9.2096900000000002</v>
      </c>
      <c r="AN80">
        <v>12.742179999999999</v>
      </c>
      <c r="AO80">
        <v>11.56738</v>
      </c>
      <c r="AP80">
        <v>9.3233800000000002</v>
      </c>
      <c r="AQ80">
        <v>8.70275</v>
      </c>
      <c r="AR80">
        <v>8.1040600000000005</v>
      </c>
      <c r="AS80">
        <v>9.9887800000000002</v>
      </c>
      <c r="AT80">
        <v>9.7917199999999998</v>
      </c>
      <c r="AU80">
        <v>9.5076099999999997</v>
      </c>
      <c r="AV80">
        <v>12.43965</v>
      </c>
      <c r="AW80">
        <v>7.5420600000000002</v>
      </c>
      <c r="AX80">
        <v>9.9668600000000005</v>
      </c>
      <c r="AY80">
        <v>7.1185099999999997</v>
      </c>
      <c r="AZ80">
        <v>9.6293699999999998</v>
      </c>
      <c r="BA80">
        <v>6.87636</v>
      </c>
      <c r="BB80">
        <v>8.3970800000000008</v>
      </c>
      <c r="BC80">
        <v>8.1232500000000005</v>
      </c>
      <c r="BD80">
        <v>5.9911700000000003</v>
      </c>
    </row>
    <row r="81" spans="1:56">
      <c r="A81">
        <v>2020000000</v>
      </c>
      <c r="B81" t="s">
        <v>6</v>
      </c>
      <c r="C81">
        <v>2</v>
      </c>
      <c r="D81" t="s">
        <v>73</v>
      </c>
      <c r="E81">
        <v>0</v>
      </c>
      <c r="F81" t="s">
        <v>74</v>
      </c>
      <c r="G81">
        <v>68</v>
      </c>
      <c r="H81" t="s">
        <v>142</v>
      </c>
      <c r="J81">
        <v>5.5904199999999999</v>
      </c>
      <c r="K81">
        <v>8.6230200000000004</v>
      </c>
      <c r="L81">
        <v>9.5618599999999994</v>
      </c>
      <c r="M81">
        <v>5.77942</v>
      </c>
      <c r="N81">
        <v>5.6487699999999998</v>
      </c>
      <c r="O81">
        <v>8.6246700000000001</v>
      </c>
      <c r="P81">
        <v>8.8104399999999998</v>
      </c>
      <c r="Q81">
        <v>7.9336099999999998</v>
      </c>
      <c r="R81">
        <v>8.8825199999999995</v>
      </c>
      <c r="S81">
        <v>8.0112400000000008</v>
      </c>
      <c r="T81">
        <v>6.7058200000000001</v>
      </c>
      <c r="U81">
        <v>7.2728700000000002</v>
      </c>
      <c r="V81">
        <v>10.24977</v>
      </c>
      <c r="W81">
        <v>6.3598800000000004</v>
      </c>
      <c r="X81">
        <v>6.9170800000000003</v>
      </c>
      <c r="Y81">
        <v>7.2321600000000004</v>
      </c>
      <c r="Z81">
        <v>6.7212199999999998</v>
      </c>
      <c r="AA81">
        <v>8.5538600000000002</v>
      </c>
      <c r="AB81">
        <v>11.60059</v>
      </c>
      <c r="AC81">
        <v>12.36974</v>
      </c>
      <c r="AD81">
        <v>7.2820099999999996</v>
      </c>
      <c r="AE81">
        <v>7.8941400000000002</v>
      </c>
      <c r="AF81">
        <v>8.20885</v>
      </c>
      <c r="AG81">
        <v>7.49254</v>
      </c>
      <c r="AH81">
        <v>6.7291100000000004</v>
      </c>
      <c r="AI81">
        <v>8.3387600000000006</v>
      </c>
      <c r="AJ81">
        <v>6.5720099999999997</v>
      </c>
      <c r="AK81">
        <v>6.1395600000000004</v>
      </c>
      <c r="AL81">
        <v>5.7586500000000003</v>
      </c>
      <c r="AM81">
        <v>8.6278400000000008</v>
      </c>
      <c r="AN81">
        <v>10.97561</v>
      </c>
      <c r="AO81">
        <v>8.1460699999999999</v>
      </c>
      <c r="AP81">
        <v>8.3062100000000001</v>
      </c>
      <c r="AQ81">
        <v>7.9935400000000003</v>
      </c>
      <c r="AR81">
        <v>6.9287700000000001</v>
      </c>
      <c r="AS81">
        <v>8.8773599999999995</v>
      </c>
      <c r="AT81">
        <v>8.7659599999999998</v>
      </c>
      <c r="AU81">
        <v>8.4666899999999998</v>
      </c>
      <c r="AV81">
        <v>9.9486299999999996</v>
      </c>
      <c r="AW81">
        <v>6.0782100000000003</v>
      </c>
      <c r="AX81">
        <v>8.5291999999999994</v>
      </c>
      <c r="AY81">
        <v>5.6541300000000003</v>
      </c>
      <c r="AZ81">
        <v>7.5943899999999998</v>
      </c>
      <c r="BA81">
        <v>6.2469700000000001</v>
      </c>
      <c r="BB81">
        <v>7.3815200000000001</v>
      </c>
      <c r="BC81">
        <v>7.26302</v>
      </c>
      <c r="BD81">
        <v>5.3411200000000001</v>
      </c>
    </row>
    <row r="82" spans="1:56">
      <c r="A82">
        <v>2020000000</v>
      </c>
      <c r="B82" t="s">
        <v>6</v>
      </c>
      <c r="C82">
        <v>2</v>
      </c>
      <c r="D82" t="s">
        <v>73</v>
      </c>
      <c r="E82">
        <v>0</v>
      </c>
      <c r="F82" t="s">
        <v>74</v>
      </c>
      <c r="G82">
        <v>69</v>
      </c>
      <c r="H82" t="s">
        <v>143</v>
      </c>
      <c r="J82">
        <v>4.8097500000000002</v>
      </c>
      <c r="K82">
        <v>8.0332399999999993</v>
      </c>
      <c r="L82">
        <v>7.7949299999999999</v>
      </c>
      <c r="M82">
        <v>4.9142900000000003</v>
      </c>
      <c r="N82">
        <v>5.1606500000000004</v>
      </c>
      <c r="O82">
        <v>7.2865099999999998</v>
      </c>
      <c r="P82">
        <v>7.6544499999999998</v>
      </c>
      <c r="Q82">
        <v>6.7491300000000001</v>
      </c>
      <c r="R82">
        <v>7.5504800000000003</v>
      </c>
      <c r="S82">
        <v>7.4766399999999997</v>
      </c>
      <c r="T82">
        <v>5.9385599999999998</v>
      </c>
      <c r="U82">
        <v>6.0649699999999998</v>
      </c>
      <c r="V82">
        <v>9.06236</v>
      </c>
      <c r="W82">
        <v>5.6542899999999996</v>
      </c>
      <c r="X82">
        <v>5.7602599999999997</v>
      </c>
      <c r="Y82">
        <v>6.1194600000000001</v>
      </c>
      <c r="Z82">
        <v>5.7538499999999999</v>
      </c>
      <c r="AA82">
        <v>7.3492100000000002</v>
      </c>
      <c r="AB82">
        <v>9.7585800000000003</v>
      </c>
      <c r="AC82">
        <v>10.678419999999999</v>
      </c>
      <c r="AD82">
        <v>6.42746</v>
      </c>
      <c r="AE82">
        <v>7.02644</v>
      </c>
      <c r="AF82">
        <v>7.3906099999999997</v>
      </c>
      <c r="AG82">
        <v>6.4386099999999997</v>
      </c>
      <c r="AH82">
        <v>5.7858900000000002</v>
      </c>
      <c r="AI82">
        <v>7.9081400000000004</v>
      </c>
      <c r="AJ82">
        <v>5.9105299999999996</v>
      </c>
      <c r="AK82">
        <v>5.7413999999999996</v>
      </c>
      <c r="AL82">
        <v>5.6176199999999996</v>
      </c>
      <c r="AM82">
        <v>8.1417300000000008</v>
      </c>
      <c r="AN82">
        <v>9.9366500000000002</v>
      </c>
      <c r="AO82">
        <v>8.577</v>
      </c>
      <c r="AP82">
        <v>6.7361899999999997</v>
      </c>
      <c r="AQ82">
        <v>6.8911899999999999</v>
      </c>
      <c r="AR82">
        <v>6.31229</v>
      </c>
      <c r="AS82">
        <v>7.8084499999999997</v>
      </c>
      <c r="AT82">
        <v>7.2469700000000001</v>
      </c>
      <c r="AU82">
        <v>7.5562699999999996</v>
      </c>
      <c r="AV82">
        <v>10.17449</v>
      </c>
      <c r="AW82">
        <v>5.4468800000000002</v>
      </c>
      <c r="AX82">
        <v>7.62791</v>
      </c>
      <c r="AY82">
        <v>5.2830199999999996</v>
      </c>
      <c r="AZ82">
        <v>6.9918399999999998</v>
      </c>
      <c r="BA82">
        <v>6.0770999999999997</v>
      </c>
      <c r="BB82">
        <v>6.2895099999999999</v>
      </c>
      <c r="BC82">
        <v>5.8680500000000002</v>
      </c>
      <c r="BD82">
        <v>4.0182500000000001</v>
      </c>
    </row>
    <row r="83" spans="1:56">
      <c r="A83">
        <v>2020000000</v>
      </c>
      <c r="B83" t="s">
        <v>6</v>
      </c>
      <c r="C83">
        <v>2</v>
      </c>
      <c r="D83" t="s">
        <v>73</v>
      </c>
      <c r="E83">
        <v>0</v>
      </c>
      <c r="F83" t="s">
        <v>74</v>
      </c>
      <c r="G83">
        <v>70</v>
      </c>
      <c r="H83" t="s">
        <v>144</v>
      </c>
      <c r="J83">
        <v>4.1716499999999996</v>
      </c>
      <c r="K83">
        <v>6.4872100000000001</v>
      </c>
      <c r="L83">
        <v>6.4921199999999999</v>
      </c>
      <c r="M83">
        <v>4.3713699999999998</v>
      </c>
      <c r="N83">
        <v>4.4889200000000002</v>
      </c>
      <c r="O83">
        <v>6.3049200000000001</v>
      </c>
      <c r="P83">
        <v>6.2539800000000003</v>
      </c>
      <c r="Q83">
        <v>5.9609500000000004</v>
      </c>
      <c r="R83">
        <v>7.0229400000000002</v>
      </c>
      <c r="S83">
        <v>6.2273199999999997</v>
      </c>
      <c r="T83">
        <v>5.1797800000000001</v>
      </c>
      <c r="U83">
        <v>5.3816499999999996</v>
      </c>
      <c r="V83">
        <v>7.9263300000000001</v>
      </c>
      <c r="W83">
        <v>5.0793699999999999</v>
      </c>
      <c r="X83">
        <v>5.1663699999999997</v>
      </c>
      <c r="Y83">
        <v>4.9498300000000004</v>
      </c>
      <c r="Z83">
        <v>4.9138700000000002</v>
      </c>
      <c r="AA83">
        <v>6.4139200000000001</v>
      </c>
      <c r="AB83">
        <v>7.7512999999999996</v>
      </c>
      <c r="AC83">
        <v>9.9310100000000006</v>
      </c>
      <c r="AD83">
        <v>5.2852100000000002</v>
      </c>
      <c r="AE83">
        <v>6.2424999999999997</v>
      </c>
      <c r="AF83">
        <v>6.3554300000000001</v>
      </c>
      <c r="AG83">
        <v>5.5300700000000003</v>
      </c>
      <c r="AH83">
        <v>5.4789300000000001</v>
      </c>
      <c r="AI83">
        <v>6.1813200000000004</v>
      </c>
      <c r="AJ83">
        <v>5.1276099999999998</v>
      </c>
      <c r="AK83">
        <v>4.9138200000000003</v>
      </c>
      <c r="AL83">
        <v>4.6386700000000003</v>
      </c>
      <c r="AM83">
        <v>6.8479700000000001</v>
      </c>
      <c r="AN83">
        <v>8.7730700000000006</v>
      </c>
      <c r="AO83">
        <v>6.63605</v>
      </c>
      <c r="AP83">
        <v>5.95303</v>
      </c>
      <c r="AQ83">
        <v>6.5742000000000003</v>
      </c>
      <c r="AR83">
        <v>5.2846599999999997</v>
      </c>
      <c r="AS83">
        <v>6.4557000000000002</v>
      </c>
      <c r="AT83">
        <v>6.2799899999999997</v>
      </c>
      <c r="AU83">
        <v>5.8714300000000001</v>
      </c>
      <c r="AV83">
        <v>7.9616199999999999</v>
      </c>
      <c r="AW83">
        <v>4.9153200000000004</v>
      </c>
      <c r="AX83">
        <v>5.9277100000000003</v>
      </c>
      <c r="AY83">
        <v>4.5328499999999998</v>
      </c>
      <c r="AZ83">
        <v>5.69564</v>
      </c>
      <c r="BA83">
        <v>5.0702400000000001</v>
      </c>
      <c r="BB83">
        <v>5.1591500000000003</v>
      </c>
      <c r="BC83">
        <v>5.2052500000000004</v>
      </c>
      <c r="BD83">
        <v>3.29718</v>
      </c>
    </row>
    <row r="84" spans="1:56">
      <c r="A84">
        <v>2020000000</v>
      </c>
      <c r="B84" t="s">
        <v>6</v>
      </c>
      <c r="C84">
        <v>2</v>
      </c>
      <c r="D84" t="s">
        <v>73</v>
      </c>
      <c r="E84">
        <v>0</v>
      </c>
      <c r="F84" t="s">
        <v>74</v>
      </c>
      <c r="G84">
        <v>71</v>
      </c>
      <c r="H84" t="s">
        <v>145</v>
      </c>
      <c r="J84">
        <v>3.7035499999999999</v>
      </c>
      <c r="K84">
        <v>5.4685300000000003</v>
      </c>
      <c r="L84">
        <v>5.81677</v>
      </c>
      <c r="M84">
        <v>3.8461500000000002</v>
      </c>
      <c r="N84">
        <v>3.77698</v>
      </c>
      <c r="O84">
        <v>5.4323399999999999</v>
      </c>
      <c r="P84">
        <v>5.3630500000000003</v>
      </c>
      <c r="Q84">
        <v>5.1055200000000003</v>
      </c>
      <c r="R84">
        <v>6.1787999999999998</v>
      </c>
      <c r="S84">
        <v>5.3616299999999999</v>
      </c>
      <c r="T84">
        <v>4.6514600000000002</v>
      </c>
      <c r="U84">
        <v>4.7666300000000001</v>
      </c>
      <c r="V84">
        <v>7.0929099999999998</v>
      </c>
      <c r="W84">
        <v>4.5376899999999996</v>
      </c>
      <c r="X84">
        <v>4.1600400000000004</v>
      </c>
      <c r="Y84">
        <v>4.2674300000000001</v>
      </c>
      <c r="Z84">
        <v>4.2111999999999998</v>
      </c>
      <c r="AA84">
        <v>5.63931</v>
      </c>
      <c r="AB84">
        <v>7.5720799999999997</v>
      </c>
      <c r="AC84">
        <v>7.9137399999999998</v>
      </c>
      <c r="AD84">
        <v>4.4963199999999999</v>
      </c>
      <c r="AE84">
        <v>5.1624999999999996</v>
      </c>
      <c r="AF84">
        <v>5.5845000000000002</v>
      </c>
      <c r="AG84">
        <v>4.70885</v>
      </c>
      <c r="AH84">
        <v>4.1693699999999998</v>
      </c>
      <c r="AI84">
        <v>5.52651</v>
      </c>
      <c r="AJ84">
        <v>4.5742599999999998</v>
      </c>
      <c r="AK84">
        <v>4.2363999999999997</v>
      </c>
      <c r="AL84">
        <v>4.0552799999999998</v>
      </c>
      <c r="AM84">
        <v>5.4526300000000001</v>
      </c>
      <c r="AN84">
        <v>7.16981</v>
      </c>
      <c r="AO84">
        <v>6.7766500000000001</v>
      </c>
      <c r="AP84">
        <v>5.5775899999999998</v>
      </c>
      <c r="AQ84">
        <v>5.6670600000000002</v>
      </c>
      <c r="AR84">
        <v>4.6346100000000003</v>
      </c>
      <c r="AS84">
        <v>6.4577099999999996</v>
      </c>
      <c r="AT84">
        <v>5.34436</v>
      </c>
      <c r="AU84">
        <v>5.64194</v>
      </c>
      <c r="AV84">
        <v>6.8025399999999996</v>
      </c>
      <c r="AW84">
        <v>4.0021699999999996</v>
      </c>
      <c r="AX84">
        <v>4.7212500000000004</v>
      </c>
      <c r="AY84">
        <v>4.4049100000000001</v>
      </c>
      <c r="AZ84">
        <v>4.8582099999999997</v>
      </c>
      <c r="BA84">
        <v>4.02224</v>
      </c>
      <c r="BB84">
        <v>4.8178400000000003</v>
      </c>
      <c r="BC84">
        <v>4.01952</v>
      </c>
      <c r="BD84">
        <v>2.8936600000000001</v>
      </c>
    </row>
    <row r="85" spans="1:56">
      <c r="A85">
        <v>2020000000</v>
      </c>
      <c r="B85" t="s">
        <v>6</v>
      </c>
      <c r="C85">
        <v>2</v>
      </c>
      <c r="D85" t="s">
        <v>73</v>
      </c>
      <c r="E85">
        <v>0</v>
      </c>
      <c r="F85" t="s">
        <v>74</v>
      </c>
      <c r="G85">
        <v>72</v>
      </c>
      <c r="H85" t="s">
        <v>146</v>
      </c>
      <c r="J85">
        <v>3.4313500000000001</v>
      </c>
      <c r="K85">
        <v>4.73637</v>
      </c>
      <c r="L85">
        <v>4.62568</v>
      </c>
      <c r="M85">
        <v>2.9804300000000001</v>
      </c>
      <c r="N85">
        <v>2.7315900000000002</v>
      </c>
      <c r="O85">
        <v>4.4745400000000002</v>
      </c>
      <c r="P85">
        <v>4.5937999999999999</v>
      </c>
      <c r="Q85">
        <v>4.1912500000000001</v>
      </c>
      <c r="R85">
        <v>4.8389499999999996</v>
      </c>
      <c r="S85">
        <v>4.6554200000000003</v>
      </c>
      <c r="T85">
        <v>3.76268</v>
      </c>
      <c r="U85">
        <v>4.0563200000000004</v>
      </c>
      <c r="V85">
        <v>6.1488300000000002</v>
      </c>
      <c r="W85">
        <v>3.8305500000000001</v>
      </c>
      <c r="X85">
        <v>3.8903099999999999</v>
      </c>
      <c r="Y85">
        <v>3.4095499999999999</v>
      </c>
      <c r="Z85">
        <v>3.6856100000000001</v>
      </c>
      <c r="AA85">
        <v>3.9046799999999999</v>
      </c>
      <c r="AB85">
        <v>5.4004300000000001</v>
      </c>
      <c r="AC85">
        <v>6.8463599999999998</v>
      </c>
      <c r="AD85">
        <v>3.98475</v>
      </c>
      <c r="AE85">
        <v>4.9136899999999999</v>
      </c>
      <c r="AF85">
        <v>4.7562300000000004</v>
      </c>
      <c r="AG85">
        <v>4.2156599999999997</v>
      </c>
      <c r="AH85">
        <v>3.6897099999999998</v>
      </c>
      <c r="AI85">
        <v>5.0125900000000003</v>
      </c>
      <c r="AJ85">
        <v>3.8069299999999999</v>
      </c>
      <c r="AK85">
        <v>3.7048700000000001</v>
      </c>
      <c r="AL85">
        <v>3.6859000000000002</v>
      </c>
      <c r="AM85">
        <v>5.0817100000000002</v>
      </c>
      <c r="AN85">
        <v>5.7981400000000001</v>
      </c>
      <c r="AO85">
        <v>4.6560300000000003</v>
      </c>
      <c r="AP85">
        <v>4.4100400000000004</v>
      </c>
      <c r="AQ85">
        <v>4.6345999999999998</v>
      </c>
      <c r="AR85">
        <v>3.9560399999999998</v>
      </c>
      <c r="AS85">
        <v>4.3059500000000002</v>
      </c>
      <c r="AT85">
        <v>4.1606199999999998</v>
      </c>
      <c r="AU85">
        <v>4.3339699999999999</v>
      </c>
      <c r="AV85">
        <v>5.05633</v>
      </c>
      <c r="AW85">
        <v>3.4083700000000001</v>
      </c>
      <c r="AX85">
        <v>4.3098900000000002</v>
      </c>
      <c r="AY85">
        <v>3.4311500000000001</v>
      </c>
      <c r="AZ85">
        <v>3.8222800000000001</v>
      </c>
      <c r="BA85">
        <v>2.8863099999999999</v>
      </c>
      <c r="BB85">
        <v>3.1800799999999998</v>
      </c>
      <c r="BC85">
        <v>3.3231899999999999</v>
      </c>
      <c r="BD85">
        <v>3.00617</v>
      </c>
    </row>
    <row r="86" spans="1:56">
      <c r="A86">
        <v>2020000000</v>
      </c>
      <c r="B86" t="s">
        <v>6</v>
      </c>
      <c r="C86">
        <v>2</v>
      </c>
      <c r="D86" t="s">
        <v>73</v>
      </c>
      <c r="E86">
        <v>0</v>
      </c>
      <c r="F86" t="s">
        <v>74</v>
      </c>
      <c r="G86">
        <v>73</v>
      </c>
      <c r="H86" t="s">
        <v>147</v>
      </c>
      <c r="J86">
        <v>2.4388000000000001</v>
      </c>
      <c r="K86">
        <v>4.0070499999999996</v>
      </c>
      <c r="L86">
        <v>4.23916</v>
      </c>
      <c r="M86">
        <v>2.59802</v>
      </c>
      <c r="N86">
        <v>2.30192</v>
      </c>
      <c r="O86">
        <v>3.7504400000000002</v>
      </c>
      <c r="P86">
        <v>3.9369100000000001</v>
      </c>
      <c r="Q86">
        <v>3.7072400000000001</v>
      </c>
      <c r="R86">
        <v>3.58311</v>
      </c>
      <c r="S86">
        <v>3.8727299999999998</v>
      </c>
      <c r="T86">
        <v>3.4306000000000001</v>
      </c>
      <c r="U86">
        <v>3.5941900000000002</v>
      </c>
      <c r="V86">
        <v>5.2764100000000003</v>
      </c>
      <c r="W86">
        <v>3.3676400000000002</v>
      </c>
      <c r="X86">
        <v>3.0551400000000002</v>
      </c>
      <c r="Y86">
        <v>3.2848899999999999</v>
      </c>
      <c r="Z86">
        <v>3.4901399999999998</v>
      </c>
      <c r="AA86">
        <v>4.3678900000000001</v>
      </c>
      <c r="AB86">
        <v>5.7116699999999998</v>
      </c>
      <c r="AC86">
        <v>6.10738</v>
      </c>
      <c r="AD86">
        <v>2.7651599999999998</v>
      </c>
      <c r="AE86">
        <v>3.95085</v>
      </c>
      <c r="AF86">
        <v>4.1541899999999998</v>
      </c>
      <c r="AG86">
        <v>3.3239399999999999</v>
      </c>
      <c r="AH86">
        <v>3.5815299999999999</v>
      </c>
      <c r="AI86">
        <v>4.5615699999999997</v>
      </c>
      <c r="AJ86">
        <v>3.4950600000000001</v>
      </c>
      <c r="AK86">
        <v>3.4168799999999999</v>
      </c>
      <c r="AL86">
        <v>3.0556700000000001</v>
      </c>
      <c r="AM86">
        <v>4.7629599999999996</v>
      </c>
      <c r="AN86">
        <v>5.3816800000000002</v>
      </c>
      <c r="AO86">
        <v>4.3407</v>
      </c>
      <c r="AP86">
        <v>3.6737799999999998</v>
      </c>
      <c r="AQ86">
        <v>3.8343600000000002</v>
      </c>
      <c r="AR86">
        <v>3.1712500000000001</v>
      </c>
      <c r="AS86">
        <v>4.3952999999999998</v>
      </c>
      <c r="AT86">
        <v>3.43675</v>
      </c>
      <c r="AU86">
        <v>3.7395700000000001</v>
      </c>
      <c r="AV86">
        <v>4.6675700000000004</v>
      </c>
      <c r="AW86">
        <v>2.6879300000000002</v>
      </c>
      <c r="AX86">
        <v>3.3114400000000002</v>
      </c>
      <c r="AY86">
        <v>3.1269999999999998</v>
      </c>
      <c r="AZ86">
        <v>3.5476700000000001</v>
      </c>
      <c r="BA86">
        <v>3.0025599999999999</v>
      </c>
      <c r="BB86">
        <v>3.1874799999999999</v>
      </c>
      <c r="BC86">
        <v>2.7137699999999998</v>
      </c>
      <c r="BD86">
        <v>2.4927800000000002</v>
      </c>
    </row>
    <row r="87" spans="1:56">
      <c r="A87">
        <v>2020000000</v>
      </c>
      <c r="B87" t="s">
        <v>6</v>
      </c>
      <c r="C87">
        <v>2</v>
      </c>
      <c r="D87" t="s">
        <v>73</v>
      </c>
      <c r="E87">
        <v>0</v>
      </c>
      <c r="F87" t="s">
        <v>74</v>
      </c>
      <c r="G87">
        <v>74</v>
      </c>
      <c r="H87" t="s">
        <v>148</v>
      </c>
      <c r="J87">
        <v>2.3088500000000001</v>
      </c>
      <c r="K87">
        <v>3.9557000000000002</v>
      </c>
      <c r="L87">
        <v>3.46644</v>
      </c>
      <c r="M87">
        <v>2.56508</v>
      </c>
      <c r="N87">
        <v>1.89103</v>
      </c>
      <c r="O87">
        <v>2.7904300000000002</v>
      </c>
      <c r="P87">
        <v>2.8904000000000001</v>
      </c>
      <c r="Q87">
        <v>3.2272400000000001</v>
      </c>
      <c r="R87">
        <v>3.6601499999999998</v>
      </c>
      <c r="S87">
        <v>3.2599</v>
      </c>
      <c r="T87">
        <v>3.0887799999999999</v>
      </c>
      <c r="U87">
        <v>3.1135899999999999</v>
      </c>
      <c r="V87">
        <v>4.7770700000000001</v>
      </c>
      <c r="W87">
        <v>2.9959699999999998</v>
      </c>
      <c r="X87">
        <v>2.7400099999999998</v>
      </c>
      <c r="Y87">
        <v>2.0700599999999998</v>
      </c>
      <c r="Z87">
        <v>2.4628100000000002</v>
      </c>
      <c r="AA87">
        <v>3.0499100000000001</v>
      </c>
      <c r="AB87">
        <v>4.5150499999999996</v>
      </c>
      <c r="AC87">
        <v>5.1742100000000004</v>
      </c>
      <c r="AD87">
        <v>2.8488799999999999</v>
      </c>
      <c r="AE87">
        <v>3.1813199999999999</v>
      </c>
      <c r="AF87">
        <v>3.6469800000000001</v>
      </c>
      <c r="AG87">
        <v>2.9275600000000002</v>
      </c>
      <c r="AH87">
        <v>2.5072999999999999</v>
      </c>
      <c r="AI87">
        <v>3.6892499999999999</v>
      </c>
      <c r="AJ87">
        <v>2.8169</v>
      </c>
      <c r="AK87">
        <v>2.76281</v>
      </c>
      <c r="AL87">
        <v>2.4988999999999999</v>
      </c>
      <c r="AM87">
        <v>3.6711100000000001</v>
      </c>
      <c r="AN87">
        <v>4.8475400000000004</v>
      </c>
      <c r="AO87">
        <v>3.3717100000000002</v>
      </c>
      <c r="AP87">
        <v>3.31677</v>
      </c>
      <c r="AQ87">
        <v>3.2539500000000001</v>
      </c>
      <c r="AR87">
        <v>3.3006899999999999</v>
      </c>
      <c r="AS87">
        <v>3.4472</v>
      </c>
      <c r="AT87">
        <v>3.0933199999999998</v>
      </c>
      <c r="AU87">
        <v>3.4214600000000002</v>
      </c>
      <c r="AV87">
        <v>3.8126699999999998</v>
      </c>
      <c r="AW87">
        <v>2.5488499999999998</v>
      </c>
      <c r="AX87">
        <v>2.5294599999999998</v>
      </c>
      <c r="AY87">
        <v>2.0874799999999998</v>
      </c>
      <c r="AZ87">
        <v>2.2881100000000001</v>
      </c>
      <c r="BA87">
        <v>2.2750599999999999</v>
      </c>
      <c r="BB87">
        <v>2.2815300000000001</v>
      </c>
      <c r="BC87">
        <v>2.2675399999999999</v>
      </c>
      <c r="BD87">
        <v>2.0370900000000001</v>
      </c>
    </row>
    <row r="88" spans="1:56">
      <c r="A88">
        <v>2020000000</v>
      </c>
      <c r="B88" t="s">
        <v>6</v>
      </c>
      <c r="C88">
        <v>2</v>
      </c>
      <c r="D88" t="s">
        <v>73</v>
      </c>
      <c r="E88">
        <v>0</v>
      </c>
      <c r="F88" t="s">
        <v>74</v>
      </c>
      <c r="G88">
        <v>75</v>
      </c>
      <c r="H88" t="s">
        <v>149</v>
      </c>
      <c r="J88">
        <v>2.1561300000000001</v>
      </c>
      <c r="K88">
        <v>2.8655499999999998</v>
      </c>
      <c r="L88">
        <v>2.8495900000000001</v>
      </c>
      <c r="M88">
        <v>1.8836599999999999</v>
      </c>
      <c r="N88">
        <v>1.8019799999999999</v>
      </c>
      <c r="O88">
        <v>2.1044299999999998</v>
      </c>
      <c r="P88">
        <v>2.8723299999999998</v>
      </c>
      <c r="Q88">
        <v>2.5691000000000002</v>
      </c>
      <c r="R88">
        <v>3.15693</v>
      </c>
      <c r="S88">
        <v>2.7218599999999999</v>
      </c>
      <c r="T88">
        <v>2.5926200000000001</v>
      </c>
      <c r="U88">
        <v>2.8958200000000001</v>
      </c>
      <c r="V88">
        <v>4.0872599999999997</v>
      </c>
      <c r="W88">
        <v>2.6920799999999998</v>
      </c>
      <c r="X88">
        <v>2.0642200000000002</v>
      </c>
      <c r="Y88">
        <v>2.6425299999999998</v>
      </c>
      <c r="Z88">
        <v>1.7716499999999999</v>
      </c>
      <c r="AA88">
        <v>1.93303</v>
      </c>
      <c r="AB88">
        <v>4.1965199999999996</v>
      </c>
      <c r="AC88">
        <v>4.4249999999999998</v>
      </c>
      <c r="AD88">
        <v>1.88984</v>
      </c>
      <c r="AE88">
        <v>2.8807700000000001</v>
      </c>
      <c r="AF88">
        <v>3.1409899999999999</v>
      </c>
      <c r="AG88">
        <v>2.60575</v>
      </c>
      <c r="AH88">
        <v>1.9858499999999999</v>
      </c>
      <c r="AI88">
        <v>3.1036899999999998</v>
      </c>
      <c r="AJ88">
        <v>2.7234099999999999</v>
      </c>
      <c r="AK88">
        <v>2.5292300000000001</v>
      </c>
      <c r="AL88">
        <v>2.42197</v>
      </c>
      <c r="AM88">
        <v>3.0277099999999999</v>
      </c>
      <c r="AN88">
        <v>4.1442199999999998</v>
      </c>
      <c r="AO88">
        <v>3.3450099999999998</v>
      </c>
      <c r="AP88">
        <v>2.9553199999999999</v>
      </c>
      <c r="AQ88">
        <v>3.42205</v>
      </c>
      <c r="AR88">
        <v>2.4223300000000001</v>
      </c>
      <c r="AS88">
        <v>2.8947400000000001</v>
      </c>
      <c r="AT88">
        <v>2.61456</v>
      </c>
      <c r="AU88">
        <v>2.4836299999999998</v>
      </c>
      <c r="AV88">
        <v>3.43811</v>
      </c>
      <c r="AW88">
        <v>1.99712</v>
      </c>
      <c r="AX88">
        <v>1.89117</v>
      </c>
      <c r="AY88">
        <v>2.0204</v>
      </c>
      <c r="AZ88">
        <v>2.5260699999999998</v>
      </c>
      <c r="BA88">
        <v>1.62941</v>
      </c>
      <c r="BB88">
        <v>1.8570800000000001</v>
      </c>
      <c r="BC88">
        <v>1.80305</v>
      </c>
      <c r="BD88">
        <v>1.7299899999999999</v>
      </c>
    </row>
    <row r="89" spans="1:56">
      <c r="A89">
        <v>2020000000</v>
      </c>
      <c r="B89" t="s">
        <v>6</v>
      </c>
      <c r="C89">
        <v>2</v>
      </c>
      <c r="D89" t="s">
        <v>73</v>
      </c>
      <c r="E89">
        <v>0</v>
      </c>
      <c r="F89" t="s">
        <v>74</v>
      </c>
      <c r="G89">
        <v>76</v>
      </c>
      <c r="H89" t="s">
        <v>150</v>
      </c>
      <c r="J89">
        <v>1.7397800000000001</v>
      </c>
      <c r="K89">
        <v>1.80932</v>
      </c>
      <c r="L89">
        <v>2.7925800000000001</v>
      </c>
      <c r="M89">
        <v>1.6802699999999999</v>
      </c>
      <c r="N89">
        <v>1.59389</v>
      </c>
      <c r="O89">
        <v>2.2285300000000001</v>
      </c>
      <c r="P89">
        <v>2.2211599999999998</v>
      </c>
      <c r="Q89">
        <v>2.2570899999999998</v>
      </c>
      <c r="R89">
        <v>2.69685</v>
      </c>
      <c r="S89">
        <v>2.44428</v>
      </c>
      <c r="T89">
        <v>2.3689800000000001</v>
      </c>
      <c r="U89">
        <v>2.2306599999999999</v>
      </c>
      <c r="V89">
        <v>3.8406500000000001</v>
      </c>
      <c r="W89">
        <v>2.1800199999999998</v>
      </c>
      <c r="X89">
        <v>1.9046400000000001</v>
      </c>
      <c r="Y89">
        <v>2.29555</v>
      </c>
      <c r="Z89">
        <v>1.51976</v>
      </c>
      <c r="AA89">
        <v>2.3514900000000001</v>
      </c>
      <c r="AB89">
        <v>2.8007900000000001</v>
      </c>
      <c r="AC89">
        <v>3.12243</v>
      </c>
      <c r="AD89">
        <v>2.1518799999999998</v>
      </c>
      <c r="AE89">
        <v>2.4566599999999998</v>
      </c>
      <c r="AF89">
        <v>2.8271999999999999</v>
      </c>
      <c r="AG89">
        <v>1.68425</v>
      </c>
      <c r="AH89">
        <v>2.0634399999999999</v>
      </c>
      <c r="AI89">
        <v>2.2986599999999999</v>
      </c>
      <c r="AJ89">
        <v>2.2663099999999998</v>
      </c>
      <c r="AK89">
        <v>2.1283099999999999</v>
      </c>
      <c r="AL89">
        <v>2.03607</v>
      </c>
      <c r="AM89">
        <v>2.63496</v>
      </c>
      <c r="AN89">
        <v>2.5543999999999998</v>
      </c>
      <c r="AO89">
        <v>2.4058600000000001</v>
      </c>
      <c r="AP89">
        <v>2.4754999999999998</v>
      </c>
      <c r="AQ89">
        <v>2.5488400000000002</v>
      </c>
      <c r="AR89">
        <v>1.8739399999999999</v>
      </c>
      <c r="AS89">
        <v>2.24512</v>
      </c>
      <c r="AT89">
        <v>2.17957</v>
      </c>
      <c r="AU89">
        <v>1.6755</v>
      </c>
      <c r="AV89">
        <v>2.85019</v>
      </c>
      <c r="AW89">
        <v>1.8880999999999999</v>
      </c>
      <c r="AX89">
        <v>2.23827</v>
      </c>
      <c r="AY89">
        <v>1.73858</v>
      </c>
      <c r="AZ89">
        <v>1.7099599999999999</v>
      </c>
      <c r="BA89">
        <v>2.0378500000000002</v>
      </c>
      <c r="BB89">
        <v>1.7525500000000001</v>
      </c>
      <c r="BC89">
        <v>1.38009</v>
      </c>
      <c r="BD89">
        <v>1.3542400000000001</v>
      </c>
    </row>
    <row r="90" spans="1:56">
      <c r="A90">
        <v>2020000000</v>
      </c>
      <c r="B90" t="s">
        <v>6</v>
      </c>
      <c r="C90">
        <v>2</v>
      </c>
      <c r="D90" t="s">
        <v>73</v>
      </c>
      <c r="E90">
        <v>0</v>
      </c>
      <c r="F90" t="s">
        <v>74</v>
      </c>
      <c r="G90">
        <v>77</v>
      </c>
      <c r="H90" t="s">
        <v>151</v>
      </c>
      <c r="J90">
        <v>1.4694</v>
      </c>
      <c r="K90">
        <v>2.0476899999999998</v>
      </c>
      <c r="L90">
        <v>2.1031499999999999</v>
      </c>
      <c r="M90">
        <v>1.18679</v>
      </c>
      <c r="N90">
        <v>1.28</v>
      </c>
      <c r="O90">
        <v>1.8153900000000001</v>
      </c>
      <c r="P90">
        <v>1.7786599999999999</v>
      </c>
      <c r="Q90">
        <v>1.97481</v>
      </c>
      <c r="R90">
        <v>2.43127</v>
      </c>
      <c r="S90">
        <v>2.1476799999999998</v>
      </c>
      <c r="T90">
        <v>2.0998100000000002</v>
      </c>
      <c r="U90">
        <v>2.1843499999999998</v>
      </c>
      <c r="V90">
        <v>3.2566099999999998</v>
      </c>
      <c r="W90">
        <v>1.95435</v>
      </c>
      <c r="X90">
        <v>1.6554</v>
      </c>
      <c r="Y90">
        <v>1.74804</v>
      </c>
      <c r="Z90">
        <v>1.6476599999999999</v>
      </c>
      <c r="AA90">
        <v>1.9494</v>
      </c>
      <c r="AB90">
        <v>3.2708200000000001</v>
      </c>
      <c r="AC90">
        <v>3.2371500000000002</v>
      </c>
      <c r="AD90">
        <v>1.7536700000000001</v>
      </c>
      <c r="AE90">
        <v>2.3956300000000001</v>
      </c>
      <c r="AF90">
        <v>2.3191899999999999</v>
      </c>
      <c r="AG90">
        <v>1.77179</v>
      </c>
      <c r="AH90">
        <v>1.78756</v>
      </c>
      <c r="AI90">
        <v>2.5553400000000002</v>
      </c>
      <c r="AJ90">
        <v>2.2041599999999999</v>
      </c>
      <c r="AK90">
        <v>1.99394</v>
      </c>
      <c r="AL90">
        <v>1.41509</v>
      </c>
      <c r="AM90">
        <v>2.3636400000000002</v>
      </c>
      <c r="AN90">
        <v>3.2435100000000001</v>
      </c>
      <c r="AO90">
        <v>2.1550099999999999</v>
      </c>
      <c r="AP90">
        <v>2.42727</v>
      </c>
      <c r="AQ90">
        <v>2.44211</v>
      </c>
      <c r="AR90">
        <v>1.64571</v>
      </c>
      <c r="AS90">
        <v>2.58169</v>
      </c>
      <c r="AT90">
        <v>2.1585299999999998</v>
      </c>
      <c r="AU90">
        <v>1.5884100000000001</v>
      </c>
      <c r="AV90">
        <v>2.90605</v>
      </c>
      <c r="AW90">
        <v>1.9035899999999999</v>
      </c>
      <c r="AX90">
        <v>1.7036500000000001</v>
      </c>
      <c r="AY90">
        <v>0.93435999999999997</v>
      </c>
      <c r="AZ90">
        <v>1.3345499999999999</v>
      </c>
      <c r="BA90">
        <v>1.7459</v>
      </c>
      <c r="BB90">
        <v>1.3988</v>
      </c>
      <c r="BC90">
        <v>1.3011200000000001</v>
      </c>
      <c r="BD90">
        <v>1.45278</v>
      </c>
    </row>
    <row r="91" spans="1:56">
      <c r="A91">
        <v>2020000000</v>
      </c>
      <c r="B91" t="s">
        <v>6</v>
      </c>
      <c r="C91">
        <v>2</v>
      </c>
      <c r="D91" t="s">
        <v>73</v>
      </c>
      <c r="E91">
        <v>0</v>
      </c>
      <c r="F91" t="s">
        <v>74</v>
      </c>
      <c r="G91">
        <v>78</v>
      </c>
      <c r="H91" t="s">
        <v>152</v>
      </c>
      <c r="J91">
        <v>1.2317499999999999</v>
      </c>
      <c r="K91">
        <v>1.7709600000000001</v>
      </c>
      <c r="L91">
        <v>1.8764400000000001</v>
      </c>
      <c r="M91">
        <v>1.55508</v>
      </c>
      <c r="N91">
        <v>0.81991000000000003</v>
      </c>
      <c r="O91">
        <v>1.4029199999999999</v>
      </c>
      <c r="P91">
        <v>2.1638700000000002</v>
      </c>
      <c r="Q91">
        <v>1.8274900000000001</v>
      </c>
      <c r="R91">
        <v>1.9904500000000001</v>
      </c>
      <c r="S91">
        <v>1.9674499999999999</v>
      </c>
      <c r="T91">
        <v>1.9788600000000001</v>
      </c>
      <c r="U91">
        <v>2.0365700000000002</v>
      </c>
      <c r="V91">
        <v>3.1236299999999999</v>
      </c>
      <c r="W91">
        <v>1.9289700000000001</v>
      </c>
      <c r="X91">
        <v>1.2541199999999999</v>
      </c>
      <c r="Y91">
        <v>1.4598500000000001</v>
      </c>
      <c r="Z91">
        <v>0.73801000000000005</v>
      </c>
      <c r="AA91">
        <v>1.34195</v>
      </c>
      <c r="AB91">
        <v>2.1190699999999998</v>
      </c>
      <c r="AC91">
        <v>2.5</v>
      </c>
      <c r="AD91">
        <v>1.51183</v>
      </c>
      <c r="AE91">
        <v>1.9806999999999999</v>
      </c>
      <c r="AF91">
        <v>2.14392</v>
      </c>
      <c r="AG91">
        <v>1.61511</v>
      </c>
      <c r="AH91">
        <v>1.4705900000000001</v>
      </c>
      <c r="AI91">
        <v>2.0032700000000001</v>
      </c>
      <c r="AJ91">
        <v>1.9344300000000001</v>
      </c>
      <c r="AK91">
        <v>1.59779</v>
      </c>
      <c r="AL91">
        <v>1.2672000000000001</v>
      </c>
      <c r="AM91">
        <v>2.5910899999999999</v>
      </c>
      <c r="AN91">
        <v>1.94293</v>
      </c>
      <c r="AO91">
        <v>2.3144100000000001</v>
      </c>
      <c r="AP91">
        <v>1.72034</v>
      </c>
      <c r="AQ91">
        <v>2.04827</v>
      </c>
      <c r="AR91">
        <v>1.5424800000000001</v>
      </c>
      <c r="AS91">
        <v>2.74566</v>
      </c>
      <c r="AT91">
        <v>1.2916700000000001</v>
      </c>
      <c r="AU91">
        <v>1.59158</v>
      </c>
      <c r="AV91">
        <v>2.2231700000000001</v>
      </c>
      <c r="AW91">
        <v>1.34066</v>
      </c>
      <c r="AX91">
        <v>1.44339</v>
      </c>
      <c r="AY91">
        <v>1.1755100000000001</v>
      </c>
      <c r="AZ91">
        <v>1.11158</v>
      </c>
      <c r="BA91">
        <v>1.1823300000000001</v>
      </c>
      <c r="BB91">
        <v>1.23912</v>
      </c>
      <c r="BC91">
        <v>1.22234</v>
      </c>
      <c r="BD91">
        <v>1.2145699999999999</v>
      </c>
    </row>
    <row r="92" spans="1:56">
      <c r="A92">
        <v>2020000000</v>
      </c>
      <c r="B92" t="s">
        <v>6</v>
      </c>
      <c r="C92">
        <v>2</v>
      </c>
      <c r="D92" t="s">
        <v>73</v>
      </c>
      <c r="E92">
        <v>0</v>
      </c>
      <c r="F92" t="s">
        <v>74</v>
      </c>
      <c r="G92">
        <v>79</v>
      </c>
      <c r="H92" t="s">
        <v>153</v>
      </c>
      <c r="J92">
        <v>1.1935899999999999</v>
      </c>
      <c r="K92">
        <v>1.75797</v>
      </c>
      <c r="L92">
        <v>1.85056</v>
      </c>
      <c r="M92">
        <v>0.97485999999999995</v>
      </c>
      <c r="N92">
        <v>0.81174999999999997</v>
      </c>
      <c r="O92">
        <v>1.4305699999999999</v>
      </c>
      <c r="P92">
        <v>1.88442</v>
      </c>
      <c r="Q92">
        <v>1.6797599999999999</v>
      </c>
      <c r="R92">
        <v>1.70858</v>
      </c>
      <c r="S92">
        <v>1.3399399999999999</v>
      </c>
      <c r="T92">
        <v>1.7704899999999999</v>
      </c>
      <c r="U92">
        <v>1.8211900000000001</v>
      </c>
      <c r="V92">
        <v>2.7678799999999999</v>
      </c>
      <c r="W92">
        <v>1.8355699999999999</v>
      </c>
      <c r="X92">
        <v>1.02376</v>
      </c>
      <c r="Y92">
        <v>1.21512</v>
      </c>
      <c r="Z92">
        <v>1.1916100000000001</v>
      </c>
      <c r="AA92">
        <v>1.44753</v>
      </c>
      <c r="AB92">
        <v>1.89764</v>
      </c>
      <c r="AC92">
        <v>2.2704599999999999</v>
      </c>
      <c r="AD92">
        <v>1.60504</v>
      </c>
      <c r="AE92">
        <v>1.6180699999999999</v>
      </c>
      <c r="AF92">
        <v>1.80636</v>
      </c>
      <c r="AG92">
        <v>1.3809400000000001</v>
      </c>
      <c r="AH92">
        <v>1.6160600000000001</v>
      </c>
      <c r="AI92">
        <v>2.2597399999999999</v>
      </c>
      <c r="AJ92">
        <v>1.64497</v>
      </c>
      <c r="AK92">
        <v>1.3833</v>
      </c>
      <c r="AL92">
        <v>1.55393</v>
      </c>
      <c r="AM92">
        <v>1.7301</v>
      </c>
      <c r="AN92">
        <v>2.4209800000000001</v>
      </c>
      <c r="AO92">
        <v>1.64456</v>
      </c>
      <c r="AP92">
        <v>1.07904</v>
      </c>
      <c r="AQ92">
        <v>1.9276199999999999</v>
      </c>
      <c r="AR92">
        <v>1.0866</v>
      </c>
      <c r="AS92">
        <v>2.1485599999999998</v>
      </c>
      <c r="AT92">
        <v>1.5992</v>
      </c>
      <c r="AU92">
        <v>1.51915</v>
      </c>
      <c r="AV92">
        <v>1.5167900000000001</v>
      </c>
      <c r="AW92">
        <v>1.3434299999999999</v>
      </c>
      <c r="AX92">
        <v>1.38809</v>
      </c>
      <c r="AY92">
        <v>1.1011</v>
      </c>
      <c r="AZ92">
        <v>1.20573</v>
      </c>
      <c r="BA92">
        <v>0.99411000000000005</v>
      </c>
      <c r="BB92">
        <v>1.1395999999999999</v>
      </c>
      <c r="BC92">
        <v>0.72246999999999995</v>
      </c>
      <c r="BD92">
        <v>0.83472000000000002</v>
      </c>
    </row>
    <row r="93" spans="1:56">
      <c r="A93">
        <v>2020000000</v>
      </c>
      <c r="B93" t="s">
        <v>6</v>
      </c>
      <c r="C93">
        <v>2</v>
      </c>
      <c r="D93" t="s">
        <v>73</v>
      </c>
      <c r="E93">
        <v>0</v>
      </c>
      <c r="F93" t="s">
        <v>74</v>
      </c>
      <c r="G93">
        <v>80</v>
      </c>
      <c r="H93" t="s">
        <v>154</v>
      </c>
      <c r="J93">
        <v>0.95286999999999999</v>
      </c>
      <c r="K93">
        <v>1.0587599999999999</v>
      </c>
      <c r="L93">
        <v>1.8388800000000001</v>
      </c>
      <c r="M93">
        <v>0.76627999999999996</v>
      </c>
      <c r="N93">
        <v>0.84075</v>
      </c>
      <c r="O93">
        <v>0.94298999999999999</v>
      </c>
      <c r="P93">
        <v>1.25</v>
      </c>
      <c r="Q93">
        <v>1.25972</v>
      </c>
      <c r="R93">
        <v>1.5300100000000001</v>
      </c>
      <c r="S93">
        <v>1.51203</v>
      </c>
      <c r="T93">
        <v>1.54867</v>
      </c>
      <c r="U93">
        <v>1.6634100000000001</v>
      </c>
      <c r="V93">
        <v>2.8354400000000002</v>
      </c>
      <c r="W93">
        <v>1.62859</v>
      </c>
      <c r="X93">
        <v>0.92308000000000001</v>
      </c>
      <c r="Y93">
        <v>1.3796900000000001</v>
      </c>
      <c r="Z93">
        <v>0.83011000000000001</v>
      </c>
      <c r="AA93">
        <v>1.19136</v>
      </c>
      <c r="AB93">
        <v>1.99081</v>
      </c>
      <c r="AC93">
        <v>2.0354399999999999</v>
      </c>
      <c r="AD93">
        <v>1.16856</v>
      </c>
      <c r="AE93">
        <v>1.6306400000000001</v>
      </c>
      <c r="AF93">
        <v>1.6365400000000001</v>
      </c>
      <c r="AG93">
        <v>1.0158499999999999</v>
      </c>
      <c r="AH93">
        <v>1.45278</v>
      </c>
      <c r="AI93">
        <v>1.9595800000000001</v>
      </c>
      <c r="AJ93">
        <v>1.5779799999999999</v>
      </c>
      <c r="AK93">
        <v>1.0083500000000001</v>
      </c>
      <c r="AL93">
        <v>1.4730000000000001</v>
      </c>
      <c r="AM93">
        <v>1.4654199999999999</v>
      </c>
      <c r="AN93">
        <v>1.4814799999999999</v>
      </c>
      <c r="AO93">
        <v>1.1578299999999999</v>
      </c>
      <c r="AP93">
        <v>1.61541</v>
      </c>
      <c r="AQ93">
        <v>1.5448500000000001</v>
      </c>
      <c r="AR93">
        <v>1.0452999999999999</v>
      </c>
      <c r="AS93">
        <v>1.1971799999999999</v>
      </c>
      <c r="AT93">
        <v>1.0600700000000001</v>
      </c>
      <c r="AU93">
        <v>1.30745</v>
      </c>
      <c r="AV93">
        <v>1.4905999999999999</v>
      </c>
      <c r="AW93">
        <v>1.05094</v>
      </c>
      <c r="AX93">
        <v>0.91503000000000001</v>
      </c>
      <c r="AY93">
        <v>0.98658000000000001</v>
      </c>
      <c r="AZ93">
        <v>0.93008999999999997</v>
      </c>
      <c r="BA93">
        <v>0.56391000000000002</v>
      </c>
      <c r="BB93">
        <v>0.90347</v>
      </c>
      <c r="BC93">
        <v>0.90703</v>
      </c>
      <c r="BD93">
        <v>0.92395000000000005</v>
      </c>
    </row>
    <row r="94" spans="1:56">
      <c r="A94">
        <v>2020000000</v>
      </c>
      <c r="B94" t="s">
        <v>6</v>
      </c>
      <c r="C94">
        <v>2</v>
      </c>
      <c r="D94" t="s">
        <v>73</v>
      </c>
      <c r="E94">
        <v>0</v>
      </c>
      <c r="F94" t="s">
        <v>74</v>
      </c>
      <c r="G94">
        <v>81</v>
      </c>
      <c r="H94" t="s">
        <v>155</v>
      </c>
      <c r="J94">
        <v>0.87204999999999999</v>
      </c>
      <c r="K94">
        <v>0.52666000000000002</v>
      </c>
      <c r="L94">
        <v>1.2378899999999999</v>
      </c>
      <c r="M94">
        <v>1.0408299999999999</v>
      </c>
      <c r="N94">
        <v>0.68027000000000004</v>
      </c>
      <c r="O94">
        <v>0.68689</v>
      </c>
      <c r="P94">
        <v>1.1146499999999999</v>
      </c>
      <c r="Q94">
        <v>0.84745999999999999</v>
      </c>
      <c r="R94">
        <v>1.5706800000000001</v>
      </c>
      <c r="S94">
        <v>0.90703</v>
      </c>
      <c r="T94">
        <v>1.0577700000000001</v>
      </c>
      <c r="U94">
        <v>1.1732100000000001</v>
      </c>
      <c r="V94">
        <v>1.8790899999999999</v>
      </c>
      <c r="W94">
        <v>1.1836899999999999</v>
      </c>
      <c r="X94">
        <v>0.74228000000000005</v>
      </c>
      <c r="Y94">
        <v>0.60280999999999996</v>
      </c>
      <c r="Z94">
        <v>1.0709500000000001</v>
      </c>
      <c r="AA94">
        <v>1.5165</v>
      </c>
      <c r="AB94">
        <v>1.4756899999999999</v>
      </c>
      <c r="AC94">
        <v>1.5660000000000001</v>
      </c>
      <c r="AD94">
        <v>0.70257999999999998</v>
      </c>
      <c r="AE94">
        <v>1.3631899999999999</v>
      </c>
      <c r="AF94">
        <v>1.3724000000000001</v>
      </c>
      <c r="AG94">
        <v>0.73568</v>
      </c>
      <c r="AH94">
        <v>1.10375</v>
      </c>
      <c r="AI94">
        <v>1.47882</v>
      </c>
      <c r="AJ94">
        <v>1.09979</v>
      </c>
      <c r="AK94">
        <v>1.06321</v>
      </c>
      <c r="AL94">
        <v>0.64561999999999997</v>
      </c>
      <c r="AM94">
        <v>0.97245000000000004</v>
      </c>
      <c r="AN94">
        <v>0.92593000000000003</v>
      </c>
      <c r="AO94">
        <v>0.80386000000000002</v>
      </c>
      <c r="AP94">
        <v>1.01824</v>
      </c>
      <c r="AQ94">
        <v>1.3615299999999999</v>
      </c>
      <c r="AR94">
        <v>1.13245</v>
      </c>
      <c r="AS94">
        <v>0.84191000000000005</v>
      </c>
      <c r="AT94">
        <v>0.65898000000000001</v>
      </c>
      <c r="AU94">
        <v>1.3061700000000001</v>
      </c>
      <c r="AV94">
        <v>0.97482000000000002</v>
      </c>
      <c r="AW94">
        <v>0.86684000000000005</v>
      </c>
      <c r="AX94">
        <v>0.5</v>
      </c>
      <c r="AY94">
        <v>0.49456</v>
      </c>
      <c r="AZ94">
        <v>0.70948</v>
      </c>
      <c r="BA94">
        <v>0.65205000000000002</v>
      </c>
      <c r="BB94">
        <v>0.75046999999999997</v>
      </c>
      <c r="BC94">
        <v>0.85336999999999996</v>
      </c>
      <c r="BD94">
        <v>0.45330999999999999</v>
      </c>
    </row>
    <row r="95" spans="1:56">
      <c r="A95">
        <v>2020000000</v>
      </c>
      <c r="B95" t="s">
        <v>6</v>
      </c>
      <c r="C95">
        <v>2</v>
      </c>
      <c r="D95" t="s">
        <v>73</v>
      </c>
      <c r="E95">
        <v>0</v>
      </c>
      <c r="F95" t="s">
        <v>74</v>
      </c>
      <c r="G95">
        <v>82</v>
      </c>
      <c r="H95" t="s">
        <v>156</v>
      </c>
      <c r="J95">
        <v>0.48503000000000002</v>
      </c>
      <c r="K95">
        <v>0.87260000000000004</v>
      </c>
      <c r="L95">
        <v>1.24031</v>
      </c>
      <c r="M95">
        <v>0.29464000000000001</v>
      </c>
      <c r="N95">
        <v>0.63636000000000004</v>
      </c>
      <c r="O95">
        <v>0.30534</v>
      </c>
      <c r="P95">
        <v>0.73075000000000001</v>
      </c>
      <c r="Q95">
        <v>0.94894000000000001</v>
      </c>
      <c r="R95">
        <v>0.61941000000000002</v>
      </c>
      <c r="S95">
        <v>0.92706999999999995</v>
      </c>
      <c r="T95">
        <v>0.71606000000000003</v>
      </c>
      <c r="U95">
        <v>0.73746</v>
      </c>
      <c r="V95">
        <v>1.8927</v>
      </c>
      <c r="W95">
        <v>0.94948999999999995</v>
      </c>
      <c r="X95">
        <v>0.47694999999999999</v>
      </c>
      <c r="Y95">
        <v>0.26667000000000002</v>
      </c>
      <c r="Z95">
        <v>9.8140000000000005E-2</v>
      </c>
      <c r="AA95">
        <v>1.13924</v>
      </c>
      <c r="AB95">
        <v>1.0344800000000001</v>
      </c>
      <c r="AC95">
        <v>1.3333299999999999</v>
      </c>
      <c r="AD95">
        <v>0.47704000000000002</v>
      </c>
      <c r="AE95">
        <v>0.92408999999999997</v>
      </c>
      <c r="AF95">
        <v>0.79896999999999996</v>
      </c>
      <c r="AG95">
        <v>0.69493000000000005</v>
      </c>
      <c r="AH95">
        <v>0.63897999999999999</v>
      </c>
      <c r="AI95">
        <v>0.82645000000000002</v>
      </c>
      <c r="AJ95">
        <v>1.0465599999999999</v>
      </c>
      <c r="AK95">
        <v>0.90649999999999997</v>
      </c>
      <c r="AL95">
        <v>0.64337999999999995</v>
      </c>
      <c r="AM95">
        <v>0.92688000000000004</v>
      </c>
      <c r="AN95">
        <v>0.71531</v>
      </c>
      <c r="AO95">
        <v>9.9210000000000007E-2</v>
      </c>
      <c r="AP95">
        <v>0.65110999999999997</v>
      </c>
      <c r="AQ95">
        <v>0.94044000000000005</v>
      </c>
      <c r="AR95">
        <v>0.5625</v>
      </c>
      <c r="AS95">
        <v>1.10294</v>
      </c>
      <c r="AT95">
        <v>0.74946000000000002</v>
      </c>
      <c r="AU95">
        <v>0.81577</v>
      </c>
      <c r="AV95">
        <v>1.14703</v>
      </c>
      <c r="AW95">
        <v>0.65756999999999999</v>
      </c>
      <c r="AX95">
        <v>0.94118000000000002</v>
      </c>
      <c r="AY95">
        <v>0.44843</v>
      </c>
      <c r="AZ95">
        <v>0.48971999999999999</v>
      </c>
      <c r="BA95">
        <v>0.29326000000000002</v>
      </c>
      <c r="BB95">
        <v>0.3518</v>
      </c>
      <c r="BC95">
        <v>0.25226999999999999</v>
      </c>
      <c r="BD95">
        <v>0.58892999999999995</v>
      </c>
    </row>
    <row r="96" spans="1:56">
      <c r="A96">
        <v>2020000000</v>
      </c>
      <c r="B96" t="s">
        <v>6</v>
      </c>
      <c r="C96">
        <v>2</v>
      </c>
      <c r="D96" t="s">
        <v>73</v>
      </c>
      <c r="E96">
        <v>0</v>
      </c>
      <c r="F96" t="s">
        <v>74</v>
      </c>
      <c r="G96">
        <v>83</v>
      </c>
      <c r="H96" t="s">
        <v>157</v>
      </c>
      <c r="J96">
        <v>0.59121999999999997</v>
      </c>
      <c r="K96">
        <v>0.40377000000000002</v>
      </c>
      <c r="L96">
        <v>0.53078999999999998</v>
      </c>
      <c r="M96">
        <v>0.54222000000000004</v>
      </c>
      <c r="N96">
        <v>0.49689</v>
      </c>
      <c r="O96">
        <v>0.31380999999999998</v>
      </c>
      <c r="P96">
        <v>0.63593</v>
      </c>
      <c r="Q96">
        <v>0.44613999999999998</v>
      </c>
      <c r="R96">
        <v>0.96992999999999996</v>
      </c>
      <c r="S96">
        <v>0.88566999999999996</v>
      </c>
      <c r="T96">
        <v>0.51075999999999999</v>
      </c>
      <c r="U96">
        <v>0.68328</v>
      </c>
      <c r="V96">
        <v>1.64096</v>
      </c>
      <c r="W96">
        <v>0.59814999999999996</v>
      </c>
      <c r="X96">
        <v>0.26151000000000002</v>
      </c>
      <c r="Y96">
        <v>0.25773000000000001</v>
      </c>
      <c r="Z96">
        <v>0.2681</v>
      </c>
      <c r="AA96">
        <v>0.34965000000000002</v>
      </c>
      <c r="AB96">
        <v>0.60331999999999997</v>
      </c>
      <c r="AC96">
        <v>1.0905100000000001</v>
      </c>
      <c r="AD96">
        <v>0.48899999999999999</v>
      </c>
      <c r="AE96">
        <v>1.03359</v>
      </c>
      <c r="AF96">
        <v>0.69260999999999995</v>
      </c>
      <c r="AG96">
        <v>0.90498000000000001</v>
      </c>
      <c r="AH96">
        <v>0.51215999999999995</v>
      </c>
      <c r="AI96">
        <v>1.30124</v>
      </c>
      <c r="AJ96">
        <v>0.71213000000000004</v>
      </c>
      <c r="AK96">
        <v>0.43801000000000001</v>
      </c>
      <c r="AL96">
        <v>0.49260999999999999</v>
      </c>
      <c r="AM96">
        <v>1.1920500000000001</v>
      </c>
      <c r="AN96">
        <v>0.78739999999999999</v>
      </c>
      <c r="AO96">
        <v>0.52700999999999998</v>
      </c>
      <c r="AP96">
        <v>0.74424999999999997</v>
      </c>
      <c r="AQ96">
        <v>0.76766000000000001</v>
      </c>
      <c r="AR96">
        <v>0.89503999999999995</v>
      </c>
      <c r="AS96">
        <v>0.33333000000000002</v>
      </c>
      <c r="AT96">
        <v>0.86704999999999999</v>
      </c>
      <c r="AU96">
        <v>0.71428999999999998</v>
      </c>
      <c r="AV96">
        <v>0.67023999999999995</v>
      </c>
      <c r="AW96">
        <v>0.37152000000000002</v>
      </c>
      <c r="AX96">
        <v>0.71941999999999995</v>
      </c>
      <c r="AY96">
        <v>0.42301</v>
      </c>
      <c r="AZ96">
        <v>0.89685999999999999</v>
      </c>
      <c r="BA96">
        <v>0.19763</v>
      </c>
      <c r="BB96">
        <v>0.3337</v>
      </c>
      <c r="BC96">
        <v>0.33693000000000001</v>
      </c>
      <c r="BD96">
        <v>0.66313</v>
      </c>
    </row>
    <row r="97" spans="1:56">
      <c r="A97">
        <v>2020000000</v>
      </c>
      <c r="B97" t="s">
        <v>6</v>
      </c>
      <c r="C97">
        <v>2</v>
      </c>
      <c r="D97" t="s">
        <v>73</v>
      </c>
      <c r="E97">
        <v>0</v>
      </c>
      <c r="F97" t="s">
        <v>74</v>
      </c>
      <c r="G97">
        <v>84</v>
      </c>
      <c r="H97" t="s">
        <v>158</v>
      </c>
      <c r="J97">
        <v>0.36509999999999998</v>
      </c>
      <c r="K97">
        <v>0.38313999999999998</v>
      </c>
      <c r="L97">
        <v>0.57803000000000004</v>
      </c>
      <c r="M97">
        <v>0.51493</v>
      </c>
      <c r="N97">
        <v>0.32786999999999999</v>
      </c>
      <c r="O97">
        <v>0.43478</v>
      </c>
      <c r="P97">
        <v>0.21504999999999999</v>
      </c>
      <c r="Q97">
        <v>0.60292999999999997</v>
      </c>
      <c r="R97">
        <v>0.95694000000000001</v>
      </c>
      <c r="S97">
        <v>0.34129999999999999</v>
      </c>
      <c r="T97">
        <v>0.70387</v>
      </c>
      <c r="U97">
        <v>0.66188999999999998</v>
      </c>
      <c r="V97">
        <v>1.3760300000000001</v>
      </c>
      <c r="W97">
        <v>0.91678000000000004</v>
      </c>
      <c r="X97">
        <v>0.35186000000000001</v>
      </c>
      <c r="Y97">
        <v>0.31496000000000002</v>
      </c>
      <c r="Z97">
        <v>0.36496000000000001</v>
      </c>
      <c r="AA97">
        <v>0.23419000000000001</v>
      </c>
      <c r="AB97">
        <v>0.90498000000000001</v>
      </c>
      <c r="AC97">
        <v>0.59791000000000005</v>
      </c>
      <c r="AD97">
        <v>0.59736999999999996</v>
      </c>
      <c r="AE97">
        <v>0.31888</v>
      </c>
      <c r="AF97">
        <v>0.81769999999999998</v>
      </c>
      <c r="AG97">
        <v>0.52015999999999996</v>
      </c>
      <c r="AH97">
        <v>0.18904000000000001</v>
      </c>
      <c r="AI97">
        <v>0.61782999999999999</v>
      </c>
      <c r="AJ97">
        <v>0.86890999999999996</v>
      </c>
      <c r="AK97">
        <v>0.51702000000000004</v>
      </c>
      <c r="AL97">
        <v>1.10063</v>
      </c>
      <c r="AM97">
        <v>0.59172000000000002</v>
      </c>
      <c r="AN97">
        <v>0.45351000000000002</v>
      </c>
      <c r="AO97">
        <v>0.18382000000000001</v>
      </c>
      <c r="AP97">
        <v>0.57582</v>
      </c>
      <c r="AQ97">
        <v>0.54091</v>
      </c>
      <c r="AR97">
        <v>0.11086</v>
      </c>
      <c r="AS97">
        <v>0.46838000000000002</v>
      </c>
      <c r="AT97">
        <v>0.71941999999999995</v>
      </c>
      <c r="AU97">
        <v>0.1182</v>
      </c>
      <c r="AV97">
        <v>0.56603999999999999</v>
      </c>
      <c r="AW97">
        <v>0.51568999999999998</v>
      </c>
      <c r="AX97">
        <v>0.82304999999999995</v>
      </c>
      <c r="AY97">
        <v>0.35088000000000003</v>
      </c>
      <c r="AZ97">
        <v>0.34364</v>
      </c>
      <c r="BA97">
        <v>0.27894000000000002</v>
      </c>
      <c r="BB97">
        <v>0.14065</v>
      </c>
      <c r="BC97">
        <v>0.35366999999999998</v>
      </c>
      <c r="BD97">
        <v>0.72885999999999995</v>
      </c>
    </row>
    <row r="98" spans="1:56">
      <c r="A98">
        <v>2020000000</v>
      </c>
      <c r="B98" t="s">
        <v>6</v>
      </c>
      <c r="C98">
        <v>2</v>
      </c>
      <c r="D98" t="s">
        <v>73</v>
      </c>
      <c r="E98">
        <v>0</v>
      </c>
      <c r="F98" t="s">
        <v>74</v>
      </c>
      <c r="G98">
        <v>85</v>
      </c>
      <c r="H98" t="s">
        <v>159</v>
      </c>
      <c r="J98">
        <v>0.28233000000000003</v>
      </c>
      <c r="K98">
        <v>0</v>
      </c>
      <c r="L98">
        <v>0.65217000000000003</v>
      </c>
      <c r="M98">
        <v>0.30075000000000002</v>
      </c>
      <c r="N98">
        <v>0</v>
      </c>
      <c r="O98">
        <v>0.63966000000000001</v>
      </c>
      <c r="P98">
        <v>0.33278000000000002</v>
      </c>
      <c r="Q98">
        <v>0.51085999999999998</v>
      </c>
      <c r="R98">
        <v>0.37313000000000002</v>
      </c>
      <c r="S98">
        <v>0.34014</v>
      </c>
      <c r="T98">
        <v>0.42342999999999997</v>
      </c>
      <c r="U98">
        <v>0.59302999999999995</v>
      </c>
      <c r="V98">
        <v>0.99192000000000002</v>
      </c>
      <c r="W98">
        <v>0.35176000000000002</v>
      </c>
      <c r="X98">
        <v>0.19861000000000001</v>
      </c>
      <c r="Y98">
        <v>0.73529</v>
      </c>
      <c r="Z98">
        <v>0.69606000000000001</v>
      </c>
      <c r="AA98">
        <v>0</v>
      </c>
      <c r="AB98">
        <v>0.29154999999999998</v>
      </c>
      <c r="AC98">
        <v>0.52300999999999997</v>
      </c>
      <c r="AD98">
        <v>0.47922999999999999</v>
      </c>
      <c r="AE98">
        <v>0.67283000000000004</v>
      </c>
      <c r="AF98">
        <v>0.40459000000000001</v>
      </c>
      <c r="AG98">
        <v>0.18348999999999999</v>
      </c>
      <c r="AH98">
        <v>0.26178000000000001</v>
      </c>
      <c r="AI98">
        <v>1.00125</v>
      </c>
      <c r="AJ98">
        <v>0.52686999999999995</v>
      </c>
      <c r="AK98">
        <v>0.13114999999999999</v>
      </c>
      <c r="AL98">
        <v>0.22831000000000001</v>
      </c>
      <c r="AM98">
        <v>0</v>
      </c>
      <c r="AN98">
        <v>1.11524</v>
      </c>
      <c r="AO98">
        <v>0.49020000000000002</v>
      </c>
      <c r="AP98">
        <v>0.53619000000000006</v>
      </c>
      <c r="AQ98">
        <v>0.27933000000000002</v>
      </c>
      <c r="AR98">
        <v>1.12903</v>
      </c>
      <c r="AS98">
        <v>0</v>
      </c>
      <c r="AT98">
        <v>0.25380999999999998</v>
      </c>
      <c r="AU98">
        <v>0.34965000000000002</v>
      </c>
      <c r="AV98">
        <v>1.11111</v>
      </c>
      <c r="AW98">
        <v>0.55486999999999997</v>
      </c>
      <c r="AX98">
        <v>0</v>
      </c>
      <c r="AY98">
        <v>0.69443999999999995</v>
      </c>
      <c r="AZ98">
        <v>0.50568999999999997</v>
      </c>
      <c r="BA98">
        <v>0.43478</v>
      </c>
      <c r="BB98">
        <v>0.20963999999999999</v>
      </c>
      <c r="BC98">
        <v>0.49382999999999999</v>
      </c>
      <c r="BD98">
        <v>0.47393000000000002</v>
      </c>
    </row>
    <row r="99" spans="1:56">
      <c r="A99">
        <v>2020000000</v>
      </c>
      <c r="B99" t="s">
        <v>6</v>
      </c>
      <c r="C99">
        <v>2</v>
      </c>
      <c r="D99" t="s">
        <v>73</v>
      </c>
      <c r="E99">
        <v>0</v>
      </c>
      <c r="F99" t="s">
        <v>74</v>
      </c>
      <c r="G99">
        <v>86</v>
      </c>
      <c r="H99" t="s">
        <v>160</v>
      </c>
      <c r="J99">
        <v>0.48705999999999999</v>
      </c>
      <c r="K99">
        <v>0.16206999999999999</v>
      </c>
      <c r="L99">
        <v>0.37220999999999999</v>
      </c>
      <c r="M99">
        <v>0.35970999999999997</v>
      </c>
      <c r="N99">
        <v>0</v>
      </c>
      <c r="O99">
        <v>0</v>
      </c>
      <c r="P99">
        <v>0.36231999999999998</v>
      </c>
      <c r="Q99">
        <v>0.36764999999999998</v>
      </c>
      <c r="R99">
        <v>0.77864</v>
      </c>
      <c r="S99">
        <v>0.42954999999999999</v>
      </c>
      <c r="T99">
        <v>0.23762</v>
      </c>
      <c r="U99">
        <v>0.29424</v>
      </c>
      <c r="V99">
        <v>0.98155000000000003</v>
      </c>
      <c r="W99">
        <v>0.76293999999999995</v>
      </c>
      <c r="X99">
        <v>0.16835</v>
      </c>
      <c r="Y99">
        <v>0.25873000000000002</v>
      </c>
      <c r="Z99">
        <v>0</v>
      </c>
      <c r="AA99">
        <v>0</v>
      </c>
      <c r="AB99">
        <v>0.63795999999999997</v>
      </c>
      <c r="AC99">
        <v>0.35885</v>
      </c>
      <c r="AD99">
        <v>0</v>
      </c>
      <c r="AE99">
        <v>0.14444000000000001</v>
      </c>
      <c r="AF99">
        <v>0.33272000000000002</v>
      </c>
      <c r="AG99">
        <v>0.21209</v>
      </c>
      <c r="AH99">
        <v>0</v>
      </c>
      <c r="AI99">
        <v>0.89002000000000003</v>
      </c>
      <c r="AJ99">
        <v>0.65632000000000001</v>
      </c>
      <c r="AK99">
        <v>0.17781</v>
      </c>
      <c r="AL99">
        <v>0.52839999999999998</v>
      </c>
      <c r="AM99">
        <v>0</v>
      </c>
      <c r="AN99">
        <v>0</v>
      </c>
      <c r="AO99">
        <v>0.27396999999999999</v>
      </c>
      <c r="AP99">
        <v>0.21337</v>
      </c>
      <c r="AQ99">
        <v>0.46583999999999998</v>
      </c>
      <c r="AR99">
        <v>8.9529999999999998E-2</v>
      </c>
      <c r="AS99">
        <v>0.20243</v>
      </c>
      <c r="AT99">
        <v>0.13192999999999999</v>
      </c>
      <c r="AU99">
        <v>0.1885</v>
      </c>
      <c r="AV99">
        <v>0.27585999999999999</v>
      </c>
      <c r="AW99">
        <v>0.23025999999999999</v>
      </c>
      <c r="AX99">
        <v>0.48154000000000002</v>
      </c>
      <c r="AY99">
        <v>0.18956999999999999</v>
      </c>
      <c r="AZ99">
        <v>0.13458999999999999</v>
      </c>
      <c r="BA99">
        <v>0.34443000000000001</v>
      </c>
      <c r="BB99">
        <v>0.21929999999999999</v>
      </c>
      <c r="BC99">
        <v>0.27528999999999998</v>
      </c>
      <c r="BD99">
        <v>0.40899999999999997</v>
      </c>
    </row>
    <row r="101" spans="1:56">
      <c r="B101" t="s">
        <v>165</v>
      </c>
      <c r="D101" t="s">
        <v>164</v>
      </c>
      <c r="E101" t="s">
        <v>166</v>
      </c>
      <c r="F101" t="s">
        <v>167</v>
      </c>
      <c r="H101" t="s">
        <v>168</v>
      </c>
      <c r="I101" t="s">
        <v>169</v>
      </c>
      <c r="J101" t="s">
        <v>170</v>
      </c>
      <c r="K101" t="s">
        <v>171</v>
      </c>
      <c r="L101" t="s">
        <v>172</v>
      </c>
      <c r="N101" t="s">
        <v>165</v>
      </c>
    </row>
    <row r="102" spans="1:56">
      <c r="A102" t="s">
        <v>26</v>
      </c>
      <c r="B102">
        <v>11.121020000000001</v>
      </c>
      <c r="D102" s="2">
        <v>2469063</v>
      </c>
      <c r="E102" s="2">
        <v>59601</v>
      </c>
      <c r="F102" s="3">
        <f>E102/D102</f>
        <v>2.4139116741857133E-2</v>
      </c>
      <c r="H102" s="4">
        <v>198869</v>
      </c>
      <c r="I102" s="4">
        <v>84821</v>
      </c>
      <c r="J102">
        <v>134</v>
      </c>
      <c r="K102" s="4">
        <v>79404</v>
      </c>
      <c r="L102" s="3">
        <f>I102/H102</f>
        <v>0.42651695337131479</v>
      </c>
      <c r="N102">
        <v>11.121020000000001</v>
      </c>
    </row>
    <row r="103" spans="1:56">
      <c r="A103" t="s">
        <v>27</v>
      </c>
      <c r="B103">
        <v>5.2373800000000017</v>
      </c>
      <c r="D103" s="2">
        <v>509649</v>
      </c>
      <c r="E103" s="2">
        <v>42895</v>
      </c>
      <c r="F103" s="3">
        <f t="shared" ref="F103:F148" si="3">E103/D103</f>
        <v>8.4165768990030393E-2</v>
      </c>
      <c r="H103" s="4">
        <v>45552</v>
      </c>
      <c r="I103" s="4">
        <v>34236</v>
      </c>
      <c r="J103">
        <v>0</v>
      </c>
      <c r="K103" s="4">
        <v>30723</v>
      </c>
      <c r="L103" s="3">
        <f t="shared" ref="L103:L148" si="4">I103/H103</f>
        <v>0.75158061116965225</v>
      </c>
      <c r="N103">
        <v>5.2373800000000017</v>
      </c>
    </row>
    <row r="104" spans="1:56">
      <c r="A104" t="s">
        <v>28</v>
      </c>
      <c r="B104">
        <v>6.2701899999999995</v>
      </c>
      <c r="D104" s="2">
        <v>490828</v>
      </c>
      <c r="E104" s="2">
        <v>46934</v>
      </c>
      <c r="F104" s="3">
        <f t="shared" si="3"/>
        <v>9.5622091649213162E-2</v>
      </c>
      <c r="H104" s="4">
        <v>46031</v>
      </c>
      <c r="I104" s="4">
        <v>31709</v>
      </c>
      <c r="J104">
        <v>58</v>
      </c>
      <c r="K104" s="4">
        <v>28895</v>
      </c>
      <c r="L104" s="3">
        <f t="shared" si="4"/>
        <v>0.68886185396797806</v>
      </c>
      <c r="N104">
        <v>6.2701899999999995</v>
      </c>
    </row>
    <row r="105" spans="1:56">
      <c r="A105" t="s">
        <v>29</v>
      </c>
      <c r="B105">
        <v>10.355249999999998</v>
      </c>
      <c r="D105" s="2">
        <v>980549</v>
      </c>
      <c r="E105" s="2">
        <v>67505</v>
      </c>
      <c r="F105" s="3">
        <f t="shared" si="3"/>
        <v>6.8844086323070042E-2</v>
      </c>
      <c r="H105" s="4">
        <v>97187</v>
      </c>
      <c r="I105" s="4">
        <v>40995</v>
      </c>
      <c r="J105">
        <v>340</v>
      </c>
      <c r="K105" s="4">
        <v>39497</v>
      </c>
      <c r="L105" s="3">
        <f t="shared" si="4"/>
        <v>0.42181567493594824</v>
      </c>
      <c r="N105">
        <v>10.355249999999998</v>
      </c>
    </row>
    <row r="106" spans="1:56">
      <c r="A106" t="s">
        <v>30</v>
      </c>
      <c r="B106">
        <v>4.6412300000000073</v>
      </c>
      <c r="D106" s="2">
        <v>383531</v>
      </c>
      <c r="E106" s="2">
        <v>39453</v>
      </c>
      <c r="F106" s="3">
        <f t="shared" si="3"/>
        <v>0.10286782554734819</v>
      </c>
      <c r="H106" s="4">
        <v>31138</v>
      </c>
      <c r="I106" s="4">
        <v>25515</v>
      </c>
      <c r="J106">
        <v>22</v>
      </c>
      <c r="K106" s="4">
        <v>22621</v>
      </c>
      <c r="L106" s="3">
        <f t="shared" si="4"/>
        <v>0.81941678977455201</v>
      </c>
      <c r="N106">
        <v>4.6412300000000073</v>
      </c>
    </row>
    <row r="107" spans="1:56">
      <c r="A107" t="s">
        <v>31</v>
      </c>
      <c r="B107">
        <v>5.9878399999999914</v>
      </c>
      <c r="D107" s="2">
        <v>396792</v>
      </c>
      <c r="E107" s="2">
        <v>55238</v>
      </c>
      <c r="F107" s="3">
        <f t="shared" si="3"/>
        <v>0.13921147603782336</v>
      </c>
      <c r="H107" s="4">
        <v>42084</v>
      </c>
      <c r="I107" s="4">
        <v>27124</v>
      </c>
      <c r="J107">
        <v>0</v>
      </c>
      <c r="K107" s="4">
        <v>24954</v>
      </c>
      <c r="L107" s="3">
        <f t="shared" si="4"/>
        <v>0.64452048284383612</v>
      </c>
      <c r="N107">
        <v>5.9878399999999914</v>
      </c>
    </row>
    <row r="108" spans="1:56">
      <c r="A108" t="s">
        <v>32</v>
      </c>
      <c r="B108">
        <v>8.521649999999994</v>
      </c>
      <c r="D108" s="2">
        <v>740089</v>
      </c>
      <c r="E108" s="2">
        <v>69042</v>
      </c>
      <c r="F108" s="3">
        <f t="shared" si="3"/>
        <v>9.3288780133200203E-2</v>
      </c>
      <c r="H108" s="4">
        <v>74375</v>
      </c>
      <c r="I108" s="4">
        <v>33797</v>
      </c>
      <c r="J108">
        <v>141</v>
      </c>
      <c r="K108" s="4">
        <v>31614</v>
      </c>
      <c r="L108" s="3">
        <f t="shared" si="4"/>
        <v>0.45441344537815126</v>
      </c>
      <c r="N108">
        <v>8.521649999999994</v>
      </c>
    </row>
    <row r="109" spans="1:56">
      <c r="A109" t="s">
        <v>33</v>
      </c>
      <c r="B109">
        <v>10.218399999999988</v>
      </c>
      <c r="D109" s="2">
        <v>1181598</v>
      </c>
      <c r="E109" s="2">
        <v>80078</v>
      </c>
      <c r="F109" s="3">
        <f t="shared" si="3"/>
        <v>6.777093393861533E-2</v>
      </c>
      <c r="H109" s="4">
        <v>118241</v>
      </c>
      <c r="I109" s="4">
        <v>61249</v>
      </c>
      <c r="J109">
        <v>193</v>
      </c>
      <c r="K109" s="4">
        <v>57353</v>
      </c>
      <c r="L109" s="3">
        <f t="shared" si="4"/>
        <v>0.51800137008313529</v>
      </c>
      <c r="N109">
        <v>10.218399999999988</v>
      </c>
    </row>
    <row r="110" spans="1:56">
      <c r="A110" t="s">
        <v>34</v>
      </c>
      <c r="B110">
        <v>11.286829999999995</v>
      </c>
      <c r="D110" s="2">
        <v>795449</v>
      </c>
      <c r="E110" s="2">
        <v>56778</v>
      </c>
      <c r="F110" s="3">
        <f t="shared" si="3"/>
        <v>7.1378554753353141E-2</v>
      </c>
      <c r="H110" s="4">
        <v>81362</v>
      </c>
      <c r="I110" s="4">
        <v>44731</v>
      </c>
      <c r="J110">
        <v>34</v>
      </c>
      <c r="K110" s="4">
        <v>40394</v>
      </c>
      <c r="L110" s="3">
        <f t="shared" si="4"/>
        <v>0.54977753742533364</v>
      </c>
      <c r="N110">
        <v>11.286829999999995</v>
      </c>
    </row>
    <row r="111" spans="1:56">
      <c r="A111" t="s">
        <v>35</v>
      </c>
      <c r="B111">
        <v>10.466650000000001</v>
      </c>
      <c r="D111" s="2">
        <v>803215</v>
      </c>
      <c r="E111" s="2">
        <v>43722</v>
      </c>
      <c r="F111" s="3">
        <f t="shared" si="3"/>
        <v>5.4433744389733758E-2</v>
      </c>
      <c r="H111" s="4">
        <v>79015</v>
      </c>
      <c r="I111" s="4">
        <v>47408</v>
      </c>
      <c r="J111">
        <v>14</v>
      </c>
      <c r="K111" s="4">
        <v>46241</v>
      </c>
      <c r="L111" s="3">
        <f t="shared" si="4"/>
        <v>0.59998734417515664</v>
      </c>
      <c r="N111">
        <v>10.466650000000001</v>
      </c>
    </row>
    <row r="112" spans="1:56">
      <c r="A112" t="s">
        <v>36</v>
      </c>
      <c r="B112">
        <v>15.69623</v>
      </c>
      <c r="D112" s="2">
        <v>3157627</v>
      </c>
      <c r="E112" s="2">
        <v>105717</v>
      </c>
      <c r="F112" s="3">
        <f t="shared" si="3"/>
        <v>3.3479888536549755E-2</v>
      </c>
      <c r="H112" s="4">
        <v>316674</v>
      </c>
      <c r="I112" s="4">
        <v>121700</v>
      </c>
      <c r="J112" s="4">
        <v>1083</v>
      </c>
      <c r="K112" s="4">
        <v>112929</v>
      </c>
      <c r="L112" s="3">
        <f t="shared" si="4"/>
        <v>0.38430688973518506</v>
      </c>
      <c r="N112">
        <v>15.69623</v>
      </c>
    </row>
    <row r="113" spans="1:14">
      <c r="A113" t="s">
        <v>37</v>
      </c>
      <c r="B113">
        <v>14.947839999999999</v>
      </c>
      <c r="D113" s="2">
        <v>2767661</v>
      </c>
      <c r="E113" s="2">
        <v>95699</v>
      </c>
      <c r="F113" s="3">
        <f t="shared" si="3"/>
        <v>3.457757290361789E-2</v>
      </c>
      <c r="H113" s="4">
        <v>270201</v>
      </c>
      <c r="I113" s="4">
        <v>111235</v>
      </c>
      <c r="J113">
        <v>833</v>
      </c>
      <c r="K113" s="4">
        <v>100009</v>
      </c>
      <c r="L113" s="3">
        <f t="shared" si="4"/>
        <v>0.41167501230565395</v>
      </c>
      <c r="N113">
        <v>14.947839999999999</v>
      </c>
    </row>
    <row r="114" spans="1:14">
      <c r="A114" t="s">
        <v>38</v>
      </c>
      <c r="B114">
        <v>13.801839999999999</v>
      </c>
      <c r="D114" s="2">
        <v>7216650</v>
      </c>
      <c r="E114" s="2">
        <v>97110</v>
      </c>
      <c r="F114" s="3">
        <f t="shared" si="3"/>
        <v>1.3456382116355928E-2</v>
      </c>
      <c r="H114" s="4">
        <v>630803</v>
      </c>
      <c r="I114" s="4">
        <v>306055</v>
      </c>
      <c r="J114" s="4">
        <v>2343</v>
      </c>
      <c r="K114" s="4">
        <v>287079</v>
      </c>
      <c r="L114" s="3">
        <f t="shared" si="4"/>
        <v>0.48518317129119548</v>
      </c>
      <c r="N114">
        <v>13.801839999999999</v>
      </c>
    </row>
    <row r="115" spans="1:14">
      <c r="A115" t="s">
        <v>39</v>
      </c>
      <c r="B115">
        <v>17.188699999999997</v>
      </c>
      <c r="D115" s="2">
        <v>4210122</v>
      </c>
      <c r="E115" s="2">
        <v>93407</v>
      </c>
      <c r="F115" s="3">
        <f t="shared" si="3"/>
        <v>2.2186292938779446E-2</v>
      </c>
      <c r="H115" s="4">
        <v>404239</v>
      </c>
      <c r="I115" s="4">
        <v>165323</v>
      </c>
      <c r="J115">
        <v>496</v>
      </c>
      <c r="K115" s="4">
        <v>159800</v>
      </c>
      <c r="L115" s="3">
        <f t="shared" si="4"/>
        <v>0.40897340434742813</v>
      </c>
      <c r="N115">
        <v>17.188699999999997</v>
      </c>
    </row>
    <row r="116" spans="1:14">
      <c r="A116" t="s">
        <v>40</v>
      </c>
      <c r="B116">
        <v>5.9787000000000035</v>
      </c>
      <c r="D116" s="2">
        <v>862796</v>
      </c>
      <c r="E116" s="2">
        <v>90547</v>
      </c>
      <c r="F116" s="3">
        <f t="shared" si="3"/>
        <v>0.10494601273070343</v>
      </c>
      <c r="H116" s="4">
        <v>87193</v>
      </c>
      <c r="I116" s="4">
        <v>73818</v>
      </c>
      <c r="J116">
        <v>3</v>
      </c>
      <c r="K116" s="4">
        <v>62210</v>
      </c>
      <c r="L116" s="3">
        <f t="shared" si="4"/>
        <v>0.84660465863085343</v>
      </c>
      <c r="N116">
        <v>5.9787000000000035</v>
      </c>
    </row>
    <row r="117" spans="1:14">
      <c r="A117" t="s">
        <v>41</v>
      </c>
      <c r="B117">
        <v>7.6427300000000002</v>
      </c>
      <c r="D117" s="2">
        <v>403007</v>
      </c>
      <c r="E117" s="2">
        <v>40632</v>
      </c>
      <c r="F117" s="3">
        <f t="shared" si="3"/>
        <v>0.10082207008811261</v>
      </c>
      <c r="H117" s="4">
        <v>41303</v>
      </c>
      <c r="I117" s="4">
        <v>32511</v>
      </c>
      <c r="J117">
        <v>0</v>
      </c>
      <c r="K117" s="4">
        <v>29101</v>
      </c>
      <c r="L117" s="3">
        <f t="shared" si="4"/>
        <v>0.78713410648136939</v>
      </c>
      <c r="N117">
        <v>7.6427300000000002</v>
      </c>
    </row>
    <row r="118" spans="1:14">
      <c r="A118" t="s">
        <v>42</v>
      </c>
      <c r="B118">
        <v>6.2020299999999935</v>
      </c>
      <c r="D118" s="2">
        <v>468835</v>
      </c>
      <c r="E118" s="2">
        <v>31185</v>
      </c>
      <c r="F118" s="3">
        <f t="shared" si="3"/>
        <v>6.6515938443162309E-2</v>
      </c>
      <c r="H118" s="4">
        <v>50089</v>
      </c>
      <c r="I118" s="4">
        <v>38830</v>
      </c>
      <c r="J118">
        <v>0</v>
      </c>
      <c r="K118" s="4">
        <v>34108</v>
      </c>
      <c r="L118" s="3">
        <f t="shared" si="4"/>
        <v>0.77522010820739085</v>
      </c>
      <c r="N118">
        <v>6.2020299999999935</v>
      </c>
    </row>
    <row r="119" spans="1:14">
      <c r="A119" t="s">
        <v>43</v>
      </c>
      <c r="B119">
        <v>7.1659800000000047</v>
      </c>
      <c r="D119" s="2">
        <v>290692</v>
      </c>
      <c r="E119" s="2">
        <v>33388</v>
      </c>
      <c r="F119" s="3">
        <f t="shared" si="3"/>
        <v>0.1148569620078984</v>
      </c>
      <c r="H119" s="4">
        <v>34316</v>
      </c>
      <c r="I119" s="4">
        <v>27969</v>
      </c>
      <c r="J119">
        <v>0</v>
      </c>
      <c r="K119" s="4">
        <v>25632</v>
      </c>
      <c r="L119" s="3">
        <f t="shared" si="4"/>
        <v>0.81504254575125301</v>
      </c>
      <c r="N119">
        <v>7.1659800000000047</v>
      </c>
    </row>
    <row r="120" spans="1:14">
      <c r="A120" t="s">
        <v>44</v>
      </c>
      <c r="B120">
        <v>9.4397499999999894</v>
      </c>
      <c r="D120" s="2">
        <v>338057</v>
      </c>
      <c r="E120" s="2">
        <v>20205</v>
      </c>
      <c r="F120" s="3">
        <f t="shared" si="3"/>
        <v>5.9768027285339455E-2</v>
      </c>
      <c r="H120" s="4">
        <v>32961</v>
      </c>
      <c r="I120" s="4">
        <v>25039</v>
      </c>
      <c r="J120">
        <v>0</v>
      </c>
      <c r="K120" s="4">
        <v>19107</v>
      </c>
      <c r="L120" s="3">
        <f t="shared" si="4"/>
        <v>0.75965535026243136</v>
      </c>
      <c r="N120">
        <v>9.4397499999999894</v>
      </c>
    </row>
    <row r="121" spans="1:14">
      <c r="A121" t="s">
        <v>45</v>
      </c>
      <c r="B121">
        <v>12.20035</v>
      </c>
      <c r="D121" s="2">
        <v>829979</v>
      </c>
      <c r="E121" s="2">
        <v>63295</v>
      </c>
      <c r="F121" s="3">
        <f t="shared" si="3"/>
        <v>7.6260965638889663E-2</v>
      </c>
      <c r="H121" s="4">
        <v>85849</v>
      </c>
      <c r="I121" s="4">
        <v>62598</v>
      </c>
      <c r="J121">
        <v>46</v>
      </c>
      <c r="K121" s="4">
        <v>52058</v>
      </c>
      <c r="L121" s="3">
        <f t="shared" si="4"/>
        <v>0.72916399725098724</v>
      </c>
      <c r="N121">
        <v>12.20035</v>
      </c>
    </row>
    <row r="122" spans="1:14">
      <c r="A122" t="s">
        <v>46</v>
      </c>
      <c r="B122">
        <v>14.494869999999992</v>
      </c>
      <c r="D122" s="2">
        <v>779029</v>
      </c>
      <c r="E122" s="2">
        <v>64159</v>
      </c>
      <c r="F122" s="3">
        <f t="shared" si="3"/>
        <v>8.2357652924345562E-2</v>
      </c>
      <c r="H122" s="4">
        <v>84109</v>
      </c>
      <c r="I122" s="4">
        <v>46892</v>
      </c>
      <c r="J122">
        <v>0</v>
      </c>
      <c r="K122" s="4">
        <v>37467</v>
      </c>
      <c r="L122" s="3">
        <f t="shared" si="4"/>
        <v>0.55751465360425168</v>
      </c>
      <c r="N122">
        <v>14.494869999999992</v>
      </c>
    </row>
    <row r="123" spans="1:14">
      <c r="A123" t="s">
        <v>47</v>
      </c>
      <c r="B123">
        <v>14.509900000000002</v>
      </c>
      <c r="D123" s="2">
        <v>1480969</v>
      </c>
      <c r="E123" s="2">
        <v>109658</v>
      </c>
      <c r="F123" s="3">
        <f t="shared" si="3"/>
        <v>7.4044763934964203E-2</v>
      </c>
      <c r="H123" s="4">
        <v>155452</v>
      </c>
      <c r="I123" s="4">
        <v>68800</v>
      </c>
      <c r="J123">
        <v>122</v>
      </c>
      <c r="K123" s="4">
        <v>62833</v>
      </c>
      <c r="L123" s="3">
        <f t="shared" si="4"/>
        <v>0.44258034634485244</v>
      </c>
      <c r="N123">
        <v>14.509900000000002</v>
      </c>
    </row>
    <row r="124" spans="1:14">
      <c r="A124" t="s">
        <v>48</v>
      </c>
      <c r="B124">
        <v>16.393090000000001</v>
      </c>
      <c r="D124" s="2">
        <v>3233126</v>
      </c>
      <c r="E124" s="2">
        <v>146189</v>
      </c>
      <c r="F124" s="3">
        <f t="shared" si="3"/>
        <v>4.5215992200736993E-2</v>
      </c>
      <c r="H124" s="4">
        <v>364976</v>
      </c>
      <c r="I124" s="4">
        <v>189374</v>
      </c>
      <c r="J124">
        <v>155</v>
      </c>
      <c r="K124" s="4">
        <v>157939</v>
      </c>
      <c r="L124" s="3">
        <f t="shared" si="4"/>
        <v>0.51886699399412561</v>
      </c>
      <c r="N124">
        <v>16.393090000000001</v>
      </c>
    </row>
    <row r="125" spans="1:14">
      <c r="A125" t="s">
        <v>49</v>
      </c>
      <c r="B125">
        <v>12.724720000000005</v>
      </c>
      <c r="D125" s="2">
        <v>741183</v>
      </c>
      <c r="E125" s="2">
        <v>40236</v>
      </c>
      <c r="F125" s="3">
        <f t="shared" si="3"/>
        <v>5.4286188431197153E-2</v>
      </c>
      <c r="H125" s="4">
        <v>74994</v>
      </c>
      <c r="I125" s="4">
        <v>45963</v>
      </c>
      <c r="J125">
        <v>81</v>
      </c>
      <c r="K125" s="4">
        <v>39969</v>
      </c>
      <c r="L125" s="3">
        <f t="shared" si="4"/>
        <v>0.61288903112248982</v>
      </c>
      <c r="N125">
        <v>12.724720000000005</v>
      </c>
    </row>
    <row r="126" spans="1:14">
      <c r="A126" t="s">
        <v>50</v>
      </c>
      <c r="B126">
        <v>14.590780000000009</v>
      </c>
      <c r="D126" s="2">
        <v>570529</v>
      </c>
      <c r="E126" s="2">
        <v>35996</v>
      </c>
      <c r="F126" s="3">
        <f t="shared" si="3"/>
        <v>6.3092323089623842E-2</v>
      </c>
      <c r="H126" s="4">
        <v>69597</v>
      </c>
      <c r="I126" s="4">
        <v>35753</v>
      </c>
      <c r="J126">
        <v>495</v>
      </c>
      <c r="K126" s="4">
        <v>34237</v>
      </c>
      <c r="L126" s="3">
        <f t="shared" si="4"/>
        <v>0.51371467160940842</v>
      </c>
      <c r="N126">
        <v>14.590780000000009</v>
      </c>
    </row>
    <row r="127" spans="1:14">
      <c r="A127" t="s">
        <v>51</v>
      </c>
      <c r="B127">
        <v>10.898429999999991</v>
      </c>
      <c r="D127" s="2">
        <v>1188903</v>
      </c>
      <c r="E127" s="2">
        <v>36133</v>
      </c>
      <c r="F127" s="3">
        <f t="shared" si="3"/>
        <v>3.0391882264574989E-2</v>
      </c>
      <c r="H127" s="4">
        <v>107029</v>
      </c>
      <c r="I127" s="4">
        <v>58776</v>
      </c>
      <c r="J127">
        <v>48</v>
      </c>
      <c r="K127" s="4">
        <v>54203</v>
      </c>
      <c r="L127" s="3">
        <f t="shared" si="4"/>
        <v>0.54915957357351741</v>
      </c>
      <c r="N127">
        <v>10.898429999999991</v>
      </c>
    </row>
    <row r="128" spans="1:14">
      <c r="A128" t="s">
        <v>52</v>
      </c>
      <c r="B128">
        <v>13.83386999999999</v>
      </c>
      <c r="D128" s="2">
        <v>4126995</v>
      </c>
      <c r="E128" s="2">
        <v>86646</v>
      </c>
      <c r="F128" s="3">
        <f t="shared" si="3"/>
        <v>2.0994936994108305E-2</v>
      </c>
      <c r="H128" s="4">
        <v>385507</v>
      </c>
      <c r="I128" s="4">
        <v>176332</v>
      </c>
      <c r="J128">
        <v>348</v>
      </c>
      <c r="K128" s="4">
        <v>163745</v>
      </c>
      <c r="L128" s="3">
        <f t="shared" si="4"/>
        <v>0.45740284871610631</v>
      </c>
      <c r="N128">
        <v>13.83386999999999</v>
      </c>
    </row>
    <row r="129" spans="1:14">
      <c r="A129" t="s">
        <v>53</v>
      </c>
      <c r="B129">
        <v>14.419370000000001</v>
      </c>
      <c r="D129" s="2">
        <v>2399358</v>
      </c>
      <c r="E129" s="2">
        <v>78607</v>
      </c>
      <c r="F129" s="3">
        <f t="shared" si="3"/>
        <v>3.2761680416177996E-2</v>
      </c>
      <c r="H129" s="4">
        <v>240157</v>
      </c>
      <c r="I129" s="4">
        <v>103958</v>
      </c>
      <c r="J129" s="4">
        <v>1528</v>
      </c>
      <c r="K129" s="4">
        <v>103747</v>
      </c>
      <c r="L129" s="3">
        <f t="shared" si="4"/>
        <v>0.43287516083228889</v>
      </c>
      <c r="N129">
        <v>14.419370000000001</v>
      </c>
    </row>
    <row r="130" spans="1:14">
      <c r="A130" t="s">
        <v>54</v>
      </c>
      <c r="B130">
        <v>15.709909999999994</v>
      </c>
      <c r="D130" s="2">
        <v>543908</v>
      </c>
      <c r="E130" s="2">
        <v>25015</v>
      </c>
      <c r="F130" s="3">
        <f t="shared" si="3"/>
        <v>4.5991233811600495E-2</v>
      </c>
      <c r="H130" s="4">
        <v>54350</v>
      </c>
      <c r="I130" s="4">
        <v>28196</v>
      </c>
      <c r="J130">
        <v>201</v>
      </c>
      <c r="K130" s="4">
        <v>26285</v>
      </c>
      <c r="L130" s="3">
        <f t="shared" si="4"/>
        <v>0.51878564857405707</v>
      </c>
      <c r="N130">
        <v>15.709909999999994</v>
      </c>
    </row>
    <row r="131" spans="1:14">
      <c r="A131" t="s">
        <v>55</v>
      </c>
      <c r="B131">
        <v>12.330820000000003</v>
      </c>
      <c r="D131" s="2">
        <v>393489</v>
      </c>
      <c r="E131" s="2">
        <v>17459</v>
      </c>
      <c r="F131" s="3">
        <f t="shared" si="3"/>
        <v>4.4369728251615677E-2</v>
      </c>
      <c r="H131" s="4">
        <v>37581</v>
      </c>
      <c r="I131" s="4">
        <v>23397</v>
      </c>
      <c r="J131">
        <v>35</v>
      </c>
      <c r="K131" s="4">
        <v>19765</v>
      </c>
      <c r="L131" s="3">
        <f t="shared" si="4"/>
        <v>0.62257523748702803</v>
      </c>
      <c r="N131">
        <v>12.330820000000003</v>
      </c>
    </row>
    <row r="132" spans="1:14">
      <c r="A132" t="s">
        <v>56</v>
      </c>
      <c r="B132">
        <v>7.222769999999997</v>
      </c>
      <c r="D132" s="2">
        <v>219069</v>
      </c>
      <c r="E132" s="2">
        <v>20626</v>
      </c>
      <c r="F132" s="3">
        <f t="shared" si="3"/>
        <v>9.4152983763106601E-2</v>
      </c>
      <c r="H132" s="4">
        <v>25162</v>
      </c>
      <c r="I132" s="4">
        <v>19293</v>
      </c>
      <c r="J132">
        <v>0</v>
      </c>
      <c r="K132" s="4">
        <v>16994</v>
      </c>
      <c r="L132" s="3">
        <f t="shared" si="4"/>
        <v>0.7667514506001113</v>
      </c>
      <c r="N132">
        <v>7.222769999999997</v>
      </c>
    </row>
    <row r="133" spans="1:14">
      <c r="A133" t="s">
        <v>57</v>
      </c>
      <c r="B133">
        <v>5.7714600000000047</v>
      </c>
      <c r="D133" s="2">
        <v>268462</v>
      </c>
      <c r="E133" s="2">
        <v>24575</v>
      </c>
      <c r="F133" s="3">
        <f t="shared" si="3"/>
        <v>9.1539957237895861E-2</v>
      </c>
      <c r="H133" s="4">
        <v>30005</v>
      </c>
      <c r="I133" s="4">
        <v>22589</v>
      </c>
      <c r="J133">
        <v>0</v>
      </c>
      <c r="K133" s="4">
        <v>22067</v>
      </c>
      <c r="L133" s="3">
        <f t="shared" si="4"/>
        <v>0.75284119313447762</v>
      </c>
      <c r="N133">
        <v>5.7714600000000047</v>
      </c>
    </row>
    <row r="134" spans="1:14">
      <c r="A134" t="s">
        <v>58</v>
      </c>
      <c r="B134">
        <v>10.072460000000007</v>
      </c>
      <c r="D134" s="2">
        <v>799611</v>
      </c>
      <c r="E134" s="2">
        <v>41981</v>
      </c>
      <c r="F134" s="3">
        <f t="shared" si="3"/>
        <v>5.2501778990033901E-2</v>
      </c>
      <c r="H134" s="4">
        <v>84323</v>
      </c>
      <c r="I134" s="4">
        <v>50128</v>
      </c>
      <c r="J134">
        <v>403</v>
      </c>
      <c r="K134" s="4">
        <v>47538</v>
      </c>
      <c r="L134" s="3">
        <f t="shared" si="4"/>
        <v>0.59447600298850845</v>
      </c>
      <c r="N134">
        <v>10.072460000000007</v>
      </c>
    </row>
    <row r="135" spans="1:14">
      <c r="A135" t="s">
        <v>59</v>
      </c>
      <c r="B135">
        <v>11.914100000000005</v>
      </c>
      <c r="D135" s="2">
        <v>1241204</v>
      </c>
      <c r="E135" s="2">
        <v>41462</v>
      </c>
      <c r="F135" s="3">
        <f t="shared" si="3"/>
        <v>3.3404661925034079E-2</v>
      </c>
      <c r="H135" s="4">
        <v>128638</v>
      </c>
      <c r="I135" s="4">
        <v>69502</v>
      </c>
      <c r="J135">
        <v>39</v>
      </c>
      <c r="K135" s="4">
        <v>61549</v>
      </c>
      <c r="L135" s="3">
        <f t="shared" si="4"/>
        <v>0.54029136025124769</v>
      </c>
      <c r="N135">
        <v>11.914100000000005</v>
      </c>
    </row>
    <row r="136" spans="1:14">
      <c r="A136" t="s">
        <v>60</v>
      </c>
      <c r="B136">
        <v>12.009820000000005</v>
      </c>
      <c r="D136" s="2">
        <v>597309</v>
      </c>
      <c r="E136" s="2">
        <v>20793</v>
      </c>
      <c r="F136" s="3">
        <f t="shared" si="3"/>
        <v>3.4811127908670386E-2</v>
      </c>
      <c r="H136" s="4">
        <v>54596</v>
      </c>
      <c r="I136" s="4">
        <v>27942</v>
      </c>
      <c r="J136">
        <v>17</v>
      </c>
      <c r="K136" s="4">
        <v>26519</v>
      </c>
      <c r="L136" s="3">
        <f t="shared" si="4"/>
        <v>0.51179573595135175</v>
      </c>
      <c r="N136">
        <v>12.009820000000005</v>
      </c>
    </row>
    <row r="137" spans="1:14">
      <c r="A137" t="s">
        <v>61</v>
      </c>
      <c r="B137">
        <v>6.4501899999999921</v>
      </c>
      <c r="D137" s="2">
        <v>307358</v>
      </c>
      <c r="E137" s="2">
        <v>17536</v>
      </c>
      <c r="F137" s="3">
        <f t="shared" si="3"/>
        <v>5.7053989159221496E-2</v>
      </c>
      <c r="H137" s="4">
        <v>27850</v>
      </c>
      <c r="I137" s="4">
        <v>18319</v>
      </c>
      <c r="J137">
        <v>61</v>
      </c>
      <c r="K137" s="4">
        <v>16060</v>
      </c>
      <c r="L137" s="3">
        <f t="shared" si="4"/>
        <v>0.65777378815080789</v>
      </c>
      <c r="N137">
        <v>6.4501899999999921</v>
      </c>
    </row>
    <row r="138" spans="1:14">
      <c r="A138" t="s">
        <v>62</v>
      </c>
      <c r="B138">
        <v>9.6927999999999912</v>
      </c>
      <c r="D138" s="2">
        <v>406062</v>
      </c>
      <c r="E138" s="2">
        <v>19096</v>
      </c>
      <c r="F138" s="3">
        <f t="shared" si="3"/>
        <v>4.7027301249562878E-2</v>
      </c>
      <c r="H138" s="4">
        <v>40957</v>
      </c>
      <c r="I138" s="4">
        <v>25625</v>
      </c>
      <c r="J138">
        <v>64</v>
      </c>
      <c r="K138" s="4">
        <v>23919</v>
      </c>
      <c r="L138" s="3">
        <f t="shared" si="4"/>
        <v>0.62565617598945233</v>
      </c>
      <c r="N138">
        <v>9.6927999999999912</v>
      </c>
    </row>
    <row r="139" spans="1:14">
      <c r="A139" t="s">
        <v>63</v>
      </c>
      <c r="B139">
        <v>10.327030000000008</v>
      </c>
      <c r="D139" s="2">
        <v>599941</v>
      </c>
      <c r="E139" s="2">
        <v>20876</v>
      </c>
      <c r="F139" s="3">
        <f t="shared" si="3"/>
        <v>3.4796755014243071E-2</v>
      </c>
      <c r="H139" s="4">
        <v>53946</v>
      </c>
      <c r="I139" s="4">
        <v>27320</v>
      </c>
      <c r="J139">
        <v>55</v>
      </c>
      <c r="K139" s="4">
        <v>24935</v>
      </c>
      <c r="L139" s="3">
        <f t="shared" si="4"/>
        <v>0.50643235828421018</v>
      </c>
      <c r="N139">
        <v>10.327030000000008</v>
      </c>
    </row>
    <row r="140" spans="1:14">
      <c r="A140" t="s">
        <v>64</v>
      </c>
      <c r="B140">
        <v>5.0657800000000037</v>
      </c>
      <c r="D140" s="2">
        <v>314330</v>
      </c>
      <c r="E140" s="2">
        <v>10570</v>
      </c>
      <c r="F140" s="3">
        <f t="shared" si="3"/>
        <v>3.3627079820570741E-2</v>
      </c>
      <c r="H140" s="4">
        <v>26944</v>
      </c>
      <c r="I140" s="4">
        <v>26250</v>
      </c>
      <c r="J140">
        <v>28</v>
      </c>
      <c r="K140" s="4">
        <v>19545</v>
      </c>
      <c r="L140" s="3">
        <f t="shared" si="4"/>
        <v>0.97424287410926369</v>
      </c>
      <c r="N140">
        <v>5.0657800000000037</v>
      </c>
    </row>
    <row r="141" spans="1:14">
      <c r="A141" t="s">
        <v>65</v>
      </c>
      <c r="B141">
        <v>11.49166000000001</v>
      </c>
      <c r="D141" s="2">
        <v>2318479</v>
      </c>
      <c r="E141" s="2">
        <v>76555</v>
      </c>
      <c r="F141" s="3">
        <f t="shared" si="3"/>
        <v>3.3019492520743127E-2</v>
      </c>
      <c r="H141" s="4">
        <v>249702</v>
      </c>
      <c r="I141" s="4">
        <v>119238</v>
      </c>
      <c r="J141" s="4">
        <v>1189</v>
      </c>
      <c r="K141" s="4">
        <v>115989</v>
      </c>
      <c r="L141" s="3">
        <f t="shared" si="4"/>
        <v>0.47752120527668984</v>
      </c>
      <c r="N141">
        <v>11.49166000000001</v>
      </c>
    </row>
    <row r="142" spans="1:14">
      <c r="A142" t="s">
        <v>66</v>
      </c>
      <c r="B142">
        <v>7.5149799999999942</v>
      </c>
      <c r="D142" s="2">
        <v>311173</v>
      </c>
      <c r="E142" s="2">
        <v>28398</v>
      </c>
      <c r="F142" s="3">
        <f t="shared" si="3"/>
        <v>9.1261131267815654E-2</v>
      </c>
      <c r="H142" s="4">
        <v>39265</v>
      </c>
      <c r="I142" s="4">
        <v>24771</v>
      </c>
      <c r="J142">
        <v>49</v>
      </c>
      <c r="K142" s="4">
        <v>22925</v>
      </c>
      <c r="L142" s="3">
        <f t="shared" si="4"/>
        <v>0.63086718451547175</v>
      </c>
      <c r="N142">
        <v>7.5149799999999942</v>
      </c>
    </row>
    <row r="143" spans="1:14">
      <c r="A143" t="s">
        <v>67</v>
      </c>
      <c r="B143">
        <v>8.4140699999999953</v>
      </c>
      <c r="D143" s="2">
        <v>556130</v>
      </c>
      <c r="E143" s="2">
        <v>27671</v>
      </c>
      <c r="F143" s="3">
        <f t="shared" si="3"/>
        <v>4.9756351932102205E-2</v>
      </c>
      <c r="H143" s="4">
        <v>60021</v>
      </c>
      <c r="I143" s="4">
        <v>39270</v>
      </c>
      <c r="J143">
        <v>0</v>
      </c>
      <c r="K143" s="4">
        <v>37811</v>
      </c>
      <c r="L143" s="3">
        <f t="shared" si="4"/>
        <v>0.65427100514819814</v>
      </c>
      <c r="N143">
        <v>8.4140699999999953</v>
      </c>
    </row>
    <row r="144" spans="1:14">
      <c r="A144" t="s">
        <v>68</v>
      </c>
      <c r="B144">
        <v>6.64255</v>
      </c>
      <c r="D144" s="2">
        <v>716740</v>
      </c>
      <c r="E144" s="2">
        <v>43735</v>
      </c>
      <c r="F144" s="3">
        <f t="shared" si="3"/>
        <v>6.1019337556157044E-2</v>
      </c>
      <c r="H144" s="4">
        <v>84362</v>
      </c>
      <c r="I144" s="4">
        <v>53973</v>
      </c>
      <c r="J144">
        <v>70</v>
      </c>
      <c r="K144" s="4">
        <v>51833</v>
      </c>
      <c r="L144" s="3">
        <f t="shared" si="4"/>
        <v>0.63977857329129229</v>
      </c>
      <c r="N144">
        <v>6.64255</v>
      </c>
    </row>
    <row r="145" spans="1:14">
      <c r="A145" t="s">
        <v>69</v>
      </c>
      <c r="B145">
        <v>9.6158599999999979</v>
      </c>
      <c r="D145" s="2">
        <v>487679</v>
      </c>
      <c r="E145" s="2">
        <v>21381</v>
      </c>
      <c r="F145" s="3">
        <f t="shared" si="3"/>
        <v>4.3842363521906826E-2</v>
      </c>
      <c r="H145" s="4">
        <v>48758</v>
      </c>
      <c r="I145" s="4">
        <v>27659</v>
      </c>
      <c r="J145">
        <v>10</v>
      </c>
      <c r="K145" s="4">
        <v>24986</v>
      </c>
      <c r="L145" s="3">
        <f t="shared" si="4"/>
        <v>0.56727101193650276</v>
      </c>
      <c r="N145">
        <v>9.6158599999999979</v>
      </c>
    </row>
    <row r="146" spans="1:14">
      <c r="A146" t="s">
        <v>70</v>
      </c>
      <c r="B146">
        <v>5.8051200000000023</v>
      </c>
      <c r="D146" s="2">
        <v>468575</v>
      </c>
      <c r="E146" s="2">
        <v>16113</v>
      </c>
      <c r="F146" s="3">
        <f t="shared" si="3"/>
        <v>3.4387237902150133E-2</v>
      </c>
      <c r="H146" s="4">
        <v>50353</v>
      </c>
      <c r="I146" s="4">
        <v>33050</v>
      </c>
      <c r="J146">
        <v>14</v>
      </c>
      <c r="K146" s="4">
        <v>31471</v>
      </c>
      <c r="L146" s="3">
        <f t="shared" si="4"/>
        <v>0.65636605564713124</v>
      </c>
      <c r="N146">
        <v>5.8051200000000023</v>
      </c>
    </row>
    <row r="147" spans="1:14">
      <c r="A147" t="s">
        <v>71</v>
      </c>
      <c r="B147">
        <v>9.7011200000000031</v>
      </c>
      <c r="D147" s="2">
        <v>725855</v>
      </c>
      <c r="E147" s="2">
        <v>14009</v>
      </c>
      <c r="F147" s="3">
        <f t="shared" si="3"/>
        <v>1.929999793347156E-2</v>
      </c>
      <c r="H147" s="4">
        <v>74685</v>
      </c>
      <c r="I147" s="4">
        <v>41396</v>
      </c>
      <c r="J147">
        <v>322</v>
      </c>
      <c r="K147" s="4">
        <v>41481</v>
      </c>
      <c r="L147" s="3">
        <f t="shared" si="4"/>
        <v>0.55427462007096473</v>
      </c>
      <c r="N147">
        <v>9.7011200000000031</v>
      </c>
    </row>
    <row r="148" spans="1:14">
      <c r="A148" t="s">
        <v>72</v>
      </c>
      <c r="B148">
        <v>6.7131899999999973</v>
      </c>
      <c r="D148" s="2">
        <v>613294</v>
      </c>
      <c r="E148" s="2">
        <v>19797</v>
      </c>
      <c r="F148" s="3">
        <f t="shared" si="3"/>
        <v>3.2279787508111932E-2</v>
      </c>
      <c r="H148" s="4">
        <v>93945</v>
      </c>
      <c r="I148" s="4">
        <v>57687</v>
      </c>
      <c r="J148" s="4">
        <v>1365</v>
      </c>
      <c r="K148" s="4">
        <v>54795</v>
      </c>
      <c r="L148" s="3">
        <f t="shared" si="4"/>
        <v>0.61405077438927036</v>
      </c>
      <c r="N148">
        <v>6.7131899999999973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FEH_00200521_230926173914</vt:lpstr>
      <vt:lpstr>グラフ1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mikitakata</dc:creator>
  <cp:lastModifiedBy>miki takata</cp:lastModifiedBy>
  <dcterms:created xsi:type="dcterms:W3CDTF">2023-09-27T05:22:06Z</dcterms:created>
  <dcterms:modified xsi:type="dcterms:W3CDTF">2023-10-24T10:04:24Z</dcterms:modified>
</cp:coreProperties>
</file>